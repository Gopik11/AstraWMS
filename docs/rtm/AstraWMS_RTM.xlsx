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TM" sheetId="3" state="visible" r:id="rId3"/>
  </sheets>
  <definedNames>
    <definedName name="_xlnm._FilterDatabase" localSheetId="2" hidden="1">'RTM'!$A$1:$Q$247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-"/>
    <numFmt numFmtId="165" formatCode="0.0%;-0.0%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9"/>
    </font>
    <font>
      <name val="Arial"/>
      <b val="1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8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AstraWMS Requirements Traceability Matrix</t>
        </is>
      </c>
      <c r="B1" s="2" t="n"/>
    </row>
    <row r="2">
      <c r="A2" s="3" t="inlineStr">
        <is>
          <t>Source</t>
        </is>
      </c>
      <c r="B2" s="4" t="inlineStr">
        <is>
          <t>AstraWMS Scope &amp; Solution Definition v1.0 (docs/scope/*.md), baseline 2026-09-30. Every requirement ID, exception code and interface ID in the document set is one row on the RTM sheet.</t>
        </is>
      </c>
    </row>
    <row r="3">
      <c r="A3" s="3" t="inlineStr">
        <is>
          <t>How to use</t>
        </is>
      </c>
      <c r="B3" s="4" t="inlineStr">
        <is>
          <t>Maintain only the yellow-header columns on the RTM sheet (Fit-Gap Disposition, Design Reference, Test Status, Defect ID(s), Owner). Summary recalculates automatically. Add further test cases for a requirement as extra rows with the same Req ID and TC suffix -02, -03 …</t>
        </is>
      </c>
    </row>
    <row r="4">
      <c r="A4" s="3" t="n"/>
      <c r="B4" s="4" t="n"/>
    </row>
    <row r="5">
      <c r="A5" s="5" t="inlineStr">
        <is>
          <t>Column</t>
        </is>
      </c>
      <c r="B5" s="6" t="inlineStr">
        <is>
          <t>Meaning</t>
        </is>
      </c>
    </row>
    <row r="6">
      <c r="A6" s="3" t="inlineStr">
        <is>
          <t>Req ID</t>
        </is>
      </c>
      <c r="B6" s="4" t="inlineStr">
        <is>
          <t>Identifier from the scope documents: &lt;AREA&gt;-&lt;NNN&gt; requirement, &lt;AREA&gt;-EX-&lt;NN&gt; exception flow, IF-&lt;FLOW&gt;-&lt;NNN&gt; ERP interface.</t>
        </is>
      </c>
    </row>
    <row r="7">
      <c r="A7" s="3" t="inlineStr">
        <is>
          <t>Type</t>
        </is>
      </c>
      <c r="B7" s="4" t="inlineStr">
        <is>
          <t>Requirement | Exception | Interface.</t>
        </is>
      </c>
    </row>
    <row r="8">
      <c r="A8" s="3" t="inlineStr">
        <is>
          <t>Area / Section / Source Document</t>
        </is>
      </c>
      <c r="B8" s="4" t="inlineStr">
        <is>
          <t>Functional area (from the ID prefix), the heading it appears under, and the Markdown file that defines it.</t>
        </is>
      </c>
    </row>
    <row r="9">
      <c r="A9" s="3" t="inlineStr">
        <is>
          <t>Requirement / Exception</t>
        </is>
      </c>
      <c r="B9" s="4" t="inlineStr">
        <is>
          <t>Requirement text, exception name, or interface object/direction/trigger as written in the scope.</t>
        </is>
      </c>
    </row>
    <row r="10">
      <c r="A10" s="3" t="inlineStr">
        <is>
          <t>Acceptance Criteria</t>
        </is>
      </c>
      <c r="B10" s="4" t="inlineStr">
        <is>
          <t>Rules: enforced as stated (positive + negative case). Exceptions: detection, resolution and ERP impact from the exception table. Interfaces: SAP/Oracle technology, design peak volume and latency SLA. HA/DR NFRs: the stated target.</t>
        </is>
      </c>
    </row>
    <row r="11">
      <c r="A11" s="3" t="inlineStr">
        <is>
          <t>Priority</t>
        </is>
      </c>
      <c r="B11" s="4" t="inlineStr">
        <is>
          <t>MoSCoW: M Must, S Should, C Could, W Won't (document §0.4).</t>
        </is>
      </c>
    </row>
    <row r="12">
      <c r="A12" s="3" t="inlineStr">
        <is>
          <t>Fit-Gap Disposition (input)</t>
        </is>
      </c>
      <c r="B12" s="4" t="inlineStr">
        <is>
          <t>Blueprint outcome (§I.1.2): Fit - Standard, Fit - Configuration, Gap - Extension, Gap - Process Change, Rejected, Deferred.</t>
        </is>
      </c>
    </row>
    <row r="13">
      <c r="A13" s="3" t="inlineStr">
        <is>
          <t>Design Reference (input)</t>
        </is>
      </c>
      <c r="B13" s="4" t="inlineStr">
        <is>
          <t>Process Design Document (PDD) or Interface Specification Document (ISD) reference.</t>
        </is>
      </c>
    </row>
    <row r="14">
      <c r="A14" s="3" t="inlineStr">
        <is>
          <t>Test Case ID</t>
        </is>
      </c>
      <c r="B14" s="4" t="inlineStr">
        <is>
          <t>Generated placeholder TC-&lt;ReqID&gt;-01; replace/extend with IDs from the test management tool.</t>
        </is>
      </c>
    </row>
    <row r="15">
      <c r="A15" s="3" t="inlineStr">
        <is>
          <t>Test Type / Test Phase</t>
        </is>
      </c>
      <c r="B15" s="4" t="inlineStr">
        <is>
          <t>Proposed from the Testing Strategy (§I.2): functional, exception, integration, interface, performance, resilience/DR, security &amp; audit, automation, regulated validation.</t>
        </is>
      </c>
    </row>
    <row r="16">
      <c r="A16" s="3" t="inlineStr">
        <is>
          <t>Test Status (input)</t>
        </is>
      </c>
      <c r="B16" s="4" t="inlineStr">
        <is>
          <t>Not Started, In Progress, Passed, Failed, Blocked, Deferred, N/A.</t>
        </is>
      </c>
    </row>
    <row r="17">
      <c r="A17" s="3" t="n"/>
      <c r="B17" s="4" t="n"/>
    </row>
    <row r="18">
      <c r="A18" s="3" t="inlineStr">
        <is>
          <t>Example (filled row)</t>
        </is>
      </c>
      <c r="B18" s="4" t="inlineStr">
        <is>
          <t>Req ID INB-002 · Fit-Gap Disposition: Fit - Configuration · Design Reference: PDD-INB-01 §3.2 · Test Status: Passed · Defect ID(s): DEF-0142 (closed) · Owner: Receiving Process Owner</t>
        </is>
      </c>
    </row>
    <row r="19">
      <c r="A19" s="3" t="n"/>
      <c r="B19" s="4" t="n"/>
    </row>
    <row r="20">
      <c r="A20" s="5" t="inlineStr">
        <is>
          <t>Assumptions</t>
        </is>
      </c>
      <c r="B20" s="6" t="n"/>
    </row>
    <row r="21">
      <c r="A21" s="3" t="inlineStr">
        <is>
          <t>A1</t>
        </is>
      </c>
      <c r="B21" s="4" t="inlineStr">
        <is>
          <t>Exception codes carry no priority in the scope; they are set to M because §I.2 requires every exception code to be covered by a test case.</t>
        </is>
      </c>
    </row>
    <row r="22">
      <c r="A22" s="3" t="inlineStr">
        <is>
          <t>A2</t>
        </is>
      </c>
      <c r="B22" s="4" t="inlineStr">
        <is>
          <t>NFR-020 to NFR-030 (HA/DR) list a target instead of a priority; they are set to M.</t>
        </is>
      </c>
    </row>
    <row r="23">
      <c r="A23" s="3" t="inlineStr">
        <is>
          <t>A3</t>
        </is>
      </c>
      <c r="B23" s="4" t="inlineStr">
        <is>
          <t>Interfaces IF-* are set to M; drop to S/C per site if an interface is not used (e.g. kitting IF-KIT-001 at sites without kitting).</t>
        </is>
      </c>
    </row>
    <row r="24">
      <c r="A24" s="3" t="inlineStr">
        <is>
          <t>A4</t>
        </is>
      </c>
      <c r="B24" s="4" t="inlineStr">
        <is>
          <t>Where a priority carries a qualifier (e.g. 'M (if sorter in scope)'), the letter is used and the qualifier is kept in Notes.</t>
        </is>
      </c>
    </row>
    <row r="25">
      <c r="A25" s="3" t="inlineStr">
        <is>
          <t>A5</t>
        </is>
      </c>
      <c r="B25" s="4" t="inlineStr">
        <is>
          <t>Test Type and Phase are proposals derived from the requirement wording (latency/throughput targets → Performance; e-signature/Part 11 → Regulated validation). Confirm during test planning.</t>
        </is>
      </c>
    </row>
    <row r="26">
      <c r="A26" s="3" t="inlineStr">
        <is>
          <t>Coverage gap</t>
        </is>
      </c>
      <c r="B26" s="4" t="inlineStr">
        <is>
          <t>Tables without requirement IDs are not in the RTM: §E.4 Security &amp; Compliance, §E.6 API Governance, §D.5 Integration Security, §G.2 Web UI modules, §H KPI definitions and reports. Assign IDs in the scope document to trace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7" t="inlineStr">
        <is>
          <t>AstraWMS: Requirements Traceability Summary</t>
        </is>
      </c>
    </row>
    <row r="2">
      <c r="A2" s="8" t="inlineStr">
        <is>
          <t>All figures are formulas over the RTM sheet and update as Test Status / Fit-Gap Disposition are maintained.</t>
        </is>
      </c>
    </row>
    <row r="4" ht="32" customHeight="1">
      <c r="A4" s="9" t="inlineStr">
        <is>
          <t>Area</t>
        </is>
      </c>
      <c r="B4" s="9" t="inlineStr">
        <is>
          <t>Total Items</t>
        </is>
      </c>
      <c r="C4" s="9" t="inlineStr">
        <is>
          <t>Requirements</t>
        </is>
      </c>
      <c r="D4" s="9" t="inlineStr">
        <is>
          <t>Interfaces</t>
        </is>
      </c>
      <c r="E4" s="9" t="inlineStr">
        <is>
          <t>Exceptions</t>
        </is>
      </c>
      <c r="F4" s="9" t="inlineStr">
        <is>
          <t>Must (M)</t>
        </is>
      </c>
      <c r="G4" s="9" t="inlineStr">
        <is>
          <t>Should (S)</t>
        </is>
      </c>
      <c r="H4" s="9" t="inlineStr">
        <is>
          <t>Could (C)</t>
        </is>
      </c>
      <c r="I4" s="9" t="inlineStr">
        <is>
          <t>Fit-Gap Assessed</t>
        </is>
      </c>
      <c r="J4" s="9" t="inlineStr">
        <is>
          <t>Passed</t>
        </is>
      </c>
      <c r="K4" s="9" t="inlineStr">
        <is>
          <t>Failed / Blocked</t>
        </is>
      </c>
      <c r="L4" s="9" t="inlineStr">
        <is>
          <t>In Progress</t>
        </is>
      </c>
      <c r="M4" s="9" t="inlineStr">
        <is>
          <t>Not Started</t>
        </is>
      </c>
      <c r="N4" s="9" t="inlineStr">
        <is>
          <t>% Passed</t>
        </is>
      </c>
      <c r="O4" s="9" t="inlineStr">
        <is>
          <t>% Fit-Gap Assessed</t>
        </is>
      </c>
    </row>
    <row r="5">
      <c r="A5" s="10" t="inlineStr">
        <is>
          <t>Inbound</t>
        </is>
      </c>
      <c r="B5" s="11">
        <f>COUNTIFS(RTM!$C$2:$C$247,$A5)</f>
        <v/>
      </c>
      <c r="C5" s="11">
        <f>COUNTIFS(RTM!$C$2:$C$247,$A5,RTM!$B$2:$B$247,"Requirement")</f>
        <v/>
      </c>
      <c r="D5" s="11">
        <f>COUNTIFS(RTM!$C$2:$C$247,$A5,RTM!$B$2:$B$247,"Interface")</f>
        <v/>
      </c>
      <c r="E5" s="11">
        <f>COUNTIFS(RTM!$C$2:$C$247,$A5,RTM!$B$2:$B$247,"Exception")</f>
        <v/>
      </c>
      <c r="F5" s="11">
        <f>COUNTIFS(RTM!$C$2:$C$247,$A5,RTM!$H$2:$H$247,"M")</f>
        <v/>
      </c>
      <c r="G5" s="11">
        <f>COUNTIFS(RTM!$C$2:$C$247,$A5,RTM!$H$2:$H$247,"S")</f>
        <v/>
      </c>
      <c r="H5" s="11">
        <f>COUNTIFS(RTM!$C$2:$C$247,$A5,RTM!$H$2:$H$247,"C")</f>
        <v/>
      </c>
      <c r="I5" s="11">
        <f>COUNTIFS(RTM!$C$2:$C$247,$A5,RTM!$I$2:$I$247,"?*")</f>
        <v/>
      </c>
      <c r="J5" s="11">
        <f>COUNTIFS(RTM!$C$2:$C$247,$A5,RTM!$N$2:$N$247,"Passed")</f>
        <v/>
      </c>
      <c r="K5" s="11">
        <f>COUNTIFS(RTM!$C$2:$C$247,$A5,RTM!$N$2:$N$247,"Failed")+COUNTIFS(RTM!$C$2:$C$247,$A5,RTM!$N$2:$N$247,"Blocked")</f>
        <v/>
      </c>
      <c r="L5" s="11">
        <f>COUNTIFS(RTM!$C$2:$C$247,$A5,RTM!$N$2:$N$247,"In Progress")</f>
        <v/>
      </c>
      <c r="M5" s="11">
        <f>COUNTIFS(RTM!$C$2:$C$247,$A5,RTM!$N$2:$N$247,"Not Started")</f>
        <v/>
      </c>
      <c r="N5" s="12">
        <f>IFERROR(J5/B5,0)</f>
        <v/>
      </c>
      <c r="O5" s="12">
        <f>IFERROR(I5/B5,0)</f>
        <v/>
      </c>
    </row>
    <row r="6">
      <c r="A6" s="10" t="inlineStr">
        <is>
          <t>Putaway &amp; Storage</t>
        </is>
      </c>
      <c r="B6" s="11">
        <f>COUNTIFS(RTM!$C$2:$C$247,$A6)</f>
        <v/>
      </c>
      <c r="C6" s="11">
        <f>COUNTIFS(RTM!$C$2:$C$247,$A6,RTM!$B$2:$B$247,"Requirement")</f>
        <v/>
      </c>
      <c r="D6" s="11">
        <f>COUNTIFS(RTM!$C$2:$C$247,$A6,RTM!$B$2:$B$247,"Interface")</f>
        <v/>
      </c>
      <c r="E6" s="11">
        <f>COUNTIFS(RTM!$C$2:$C$247,$A6,RTM!$B$2:$B$247,"Exception")</f>
        <v/>
      </c>
      <c r="F6" s="11">
        <f>COUNTIFS(RTM!$C$2:$C$247,$A6,RTM!$H$2:$H$247,"M")</f>
        <v/>
      </c>
      <c r="G6" s="11">
        <f>COUNTIFS(RTM!$C$2:$C$247,$A6,RTM!$H$2:$H$247,"S")</f>
        <v/>
      </c>
      <c r="H6" s="11">
        <f>COUNTIFS(RTM!$C$2:$C$247,$A6,RTM!$H$2:$H$247,"C")</f>
        <v/>
      </c>
      <c r="I6" s="11">
        <f>COUNTIFS(RTM!$C$2:$C$247,$A6,RTM!$I$2:$I$247,"?*")</f>
        <v/>
      </c>
      <c r="J6" s="11">
        <f>COUNTIFS(RTM!$C$2:$C$247,$A6,RTM!$N$2:$N$247,"Passed")</f>
        <v/>
      </c>
      <c r="K6" s="11">
        <f>COUNTIFS(RTM!$C$2:$C$247,$A6,RTM!$N$2:$N$247,"Failed")+COUNTIFS(RTM!$C$2:$C$247,$A6,RTM!$N$2:$N$247,"Blocked")</f>
        <v/>
      </c>
      <c r="L6" s="11">
        <f>COUNTIFS(RTM!$C$2:$C$247,$A6,RTM!$N$2:$N$247,"In Progress")</f>
        <v/>
      </c>
      <c r="M6" s="11">
        <f>COUNTIFS(RTM!$C$2:$C$247,$A6,RTM!$N$2:$N$247,"Not Started")</f>
        <v/>
      </c>
      <c r="N6" s="12">
        <f>IFERROR(J6/B6,0)</f>
        <v/>
      </c>
      <c r="O6" s="12">
        <f>IFERROR(I6/B6,0)</f>
        <v/>
      </c>
    </row>
    <row r="7">
      <c r="A7" s="10" t="inlineStr">
        <is>
          <t>Outbound Order Mgmt</t>
        </is>
      </c>
      <c r="B7" s="11">
        <f>COUNTIFS(RTM!$C$2:$C$247,$A7)</f>
        <v/>
      </c>
      <c r="C7" s="11">
        <f>COUNTIFS(RTM!$C$2:$C$247,$A7,RTM!$B$2:$B$247,"Requirement")</f>
        <v/>
      </c>
      <c r="D7" s="11">
        <f>COUNTIFS(RTM!$C$2:$C$247,$A7,RTM!$B$2:$B$247,"Interface")</f>
        <v/>
      </c>
      <c r="E7" s="11">
        <f>COUNTIFS(RTM!$C$2:$C$247,$A7,RTM!$B$2:$B$247,"Exception")</f>
        <v/>
      </c>
      <c r="F7" s="11">
        <f>COUNTIFS(RTM!$C$2:$C$247,$A7,RTM!$H$2:$H$247,"M")</f>
        <v/>
      </c>
      <c r="G7" s="11">
        <f>COUNTIFS(RTM!$C$2:$C$247,$A7,RTM!$H$2:$H$247,"S")</f>
        <v/>
      </c>
      <c r="H7" s="11">
        <f>COUNTIFS(RTM!$C$2:$C$247,$A7,RTM!$H$2:$H$247,"C")</f>
        <v/>
      </c>
      <c r="I7" s="11">
        <f>COUNTIFS(RTM!$C$2:$C$247,$A7,RTM!$I$2:$I$247,"?*")</f>
        <v/>
      </c>
      <c r="J7" s="11">
        <f>COUNTIFS(RTM!$C$2:$C$247,$A7,RTM!$N$2:$N$247,"Passed")</f>
        <v/>
      </c>
      <c r="K7" s="11">
        <f>COUNTIFS(RTM!$C$2:$C$247,$A7,RTM!$N$2:$N$247,"Failed")+COUNTIFS(RTM!$C$2:$C$247,$A7,RTM!$N$2:$N$247,"Blocked")</f>
        <v/>
      </c>
      <c r="L7" s="11">
        <f>COUNTIFS(RTM!$C$2:$C$247,$A7,RTM!$N$2:$N$247,"In Progress")</f>
        <v/>
      </c>
      <c r="M7" s="11">
        <f>COUNTIFS(RTM!$C$2:$C$247,$A7,RTM!$N$2:$N$247,"Not Started")</f>
        <v/>
      </c>
      <c r="N7" s="12">
        <f>IFERROR(J7/B7,0)</f>
        <v/>
      </c>
      <c r="O7" s="12">
        <f>IFERROR(I7/B7,0)</f>
        <v/>
      </c>
    </row>
    <row r="8">
      <c r="A8" s="10" t="inlineStr">
        <is>
          <t>Picking</t>
        </is>
      </c>
      <c r="B8" s="11">
        <f>COUNTIFS(RTM!$C$2:$C$247,$A8)</f>
        <v/>
      </c>
      <c r="C8" s="11">
        <f>COUNTIFS(RTM!$C$2:$C$247,$A8,RTM!$B$2:$B$247,"Requirement")</f>
        <v/>
      </c>
      <c r="D8" s="11">
        <f>COUNTIFS(RTM!$C$2:$C$247,$A8,RTM!$B$2:$B$247,"Interface")</f>
        <v/>
      </c>
      <c r="E8" s="11">
        <f>COUNTIFS(RTM!$C$2:$C$247,$A8,RTM!$B$2:$B$247,"Exception")</f>
        <v/>
      </c>
      <c r="F8" s="11">
        <f>COUNTIFS(RTM!$C$2:$C$247,$A8,RTM!$H$2:$H$247,"M")</f>
        <v/>
      </c>
      <c r="G8" s="11">
        <f>COUNTIFS(RTM!$C$2:$C$247,$A8,RTM!$H$2:$H$247,"S")</f>
        <v/>
      </c>
      <c r="H8" s="11">
        <f>COUNTIFS(RTM!$C$2:$C$247,$A8,RTM!$H$2:$H$247,"C")</f>
        <v/>
      </c>
      <c r="I8" s="11">
        <f>COUNTIFS(RTM!$C$2:$C$247,$A8,RTM!$I$2:$I$247,"?*")</f>
        <v/>
      </c>
      <c r="J8" s="11">
        <f>COUNTIFS(RTM!$C$2:$C$247,$A8,RTM!$N$2:$N$247,"Passed")</f>
        <v/>
      </c>
      <c r="K8" s="11">
        <f>COUNTIFS(RTM!$C$2:$C$247,$A8,RTM!$N$2:$N$247,"Failed")+COUNTIFS(RTM!$C$2:$C$247,$A8,RTM!$N$2:$N$247,"Blocked")</f>
        <v/>
      </c>
      <c r="L8" s="11">
        <f>COUNTIFS(RTM!$C$2:$C$247,$A8,RTM!$N$2:$N$247,"In Progress")</f>
        <v/>
      </c>
      <c r="M8" s="11">
        <f>COUNTIFS(RTM!$C$2:$C$247,$A8,RTM!$N$2:$N$247,"Not Started")</f>
        <v/>
      </c>
      <c r="N8" s="12">
        <f>IFERROR(J8/B8,0)</f>
        <v/>
      </c>
      <c r="O8" s="12">
        <f>IFERROR(I8/B8,0)</f>
        <v/>
      </c>
    </row>
    <row r="9">
      <c r="A9" s="10" t="inlineStr">
        <is>
          <t>Packing, Staging &amp; Shipping</t>
        </is>
      </c>
      <c r="B9" s="11">
        <f>COUNTIFS(RTM!$C$2:$C$247,$A9)</f>
        <v/>
      </c>
      <c r="C9" s="11">
        <f>COUNTIFS(RTM!$C$2:$C$247,$A9,RTM!$B$2:$B$247,"Requirement")</f>
        <v/>
      </c>
      <c r="D9" s="11">
        <f>COUNTIFS(RTM!$C$2:$C$247,$A9,RTM!$B$2:$B$247,"Interface")</f>
        <v/>
      </c>
      <c r="E9" s="11">
        <f>COUNTIFS(RTM!$C$2:$C$247,$A9,RTM!$B$2:$B$247,"Exception")</f>
        <v/>
      </c>
      <c r="F9" s="11">
        <f>COUNTIFS(RTM!$C$2:$C$247,$A9,RTM!$H$2:$H$247,"M")</f>
        <v/>
      </c>
      <c r="G9" s="11">
        <f>COUNTIFS(RTM!$C$2:$C$247,$A9,RTM!$H$2:$H$247,"S")</f>
        <v/>
      </c>
      <c r="H9" s="11">
        <f>COUNTIFS(RTM!$C$2:$C$247,$A9,RTM!$H$2:$H$247,"C")</f>
        <v/>
      </c>
      <c r="I9" s="11">
        <f>COUNTIFS(RTM!$C$2:$C$247,$A9,RTM!$I$2:$I$247,"?*")</f>
        <v/>
      </c>
      <c r="J9" s="11">
        <f>COUNTIFS(RTM!$C$2:$C$247,$A9,RTM!$N$2:$N$247,"Passed")</f>
        <v/>
      </c>
      <c r="K9" s="11">
        <f>COUNTIFS(RTM!$C$2:$C$247,$A9,RTM!$N$2:$N$247,"Failed")+COUNTIFS(RTM!$C$2:$C$247,$A9,RTM!$N$2:$N$247,"Blocked")</f>
        <v/>
      </c>
      <c r="L9" s="11">
        <f>COUNTIFS(RTM!$C$2:$C$247,$A9,RTM!$N$2:$N$247,"In Progress")</f>
        <v/>
      </c>
      <c r="M9" s="11">
        <f>COUNTIFS(RTM!$C$2:$C$247,$A9,RTM!$N$2:$N$247,"Not Started")</f>
        <v/>
      </c>
      <c r="N9" s="12">
        <f>IFERROR(J9/B9,0)</f>
        <v/>
      </c>
      <c r="O9" s="12">
        <f>IFERROR(I9/B9,0)</f>
        <v/>
      </c>
    </row>
    <row r="10">
      <c r="A10" s="10" t="inlineStr">
        <is>
          <t>Inventory Management</t>
        </is>
      </c>
      <c r="B10" s="11">
        <f>COUNTIFS(RTM!$C$2:$C$247,$A10)</f>
        <v/>
      </c>
      <c r="C10" s="11">
        <f>COUNTIFS(RTM!$C$2:$C$247,$A10,RTM!$B$2:$B$247,"Requirement")</f>
        <v/>
      </c>
      <c r="D10" s="11">
        <f>COUNTIFS(RTM!$C$2:$C$247,$A10,RTM!$B$2:$B$247,"Interface")</f>
        <v/>
      </c>
      <c r="E10" s="11">
        <f>COUNTIFS(RTM!$C$2:$C$247,$A10,RTM!$B$2:$B$247,"Exception")</f>
        <v/>
      </c>
      <c r="F10" s="11">
        <f>COUNTIFS(RTM!$C$2:$C$247,$A10,RTM!$H$2:$H$247,"M")</f>
        <v/>
      </c>
      <c r="G10" s="11">
        <f>COUNTIFS(RTM!$C$2:$C$247,$A10,RTM!$H$2:$H$247,"S")</f>
        <v/>
      </c>
      <c r="H10" s="11">
        <f>COUNTIFS(RTM!$C$2:$C$247,$A10,RTM!$H$2:$H$247,"C")</f>
        <v/>
      </c>
      <c r="I10" s="11">
        <f>COUNTIFS(RTM!$C$2:$C$247,$A10,RTM!$I$2:$I$247,"?*")</f>
        <v/>
      </c>
      <c r="J10" s="11">
        <f>COUNTIFS(RTM!$C$2:$C$247,$A10,RTM!$N$2:$N$247,"Passed")</f>
        <v/>
      </c>
      <c r="K10" s="11">
        <f>COUNTIFS(RTM!$C$2:$C$247,$A10,RTM!$N$2:$N$247,"Failed")+COUNTIFS(RTM!$C$2:$C$247,$A10,RTM!$N$2:$N$247,"Blocked")</f>
        <v/>
      </c>
      <c r="L10" s="11">
        <f>COUNTIFS(RTM!$C$2:$C$247,$A10,RTM!$N$2:$N$247,"In Progress")</f>
        <v/>
      </c>
      <c r="M10" s="11">
        <f>COUNTIFS(RTM!$C$2:$C$247,$A10,RTM!$N$2:$N$247,"Not Started")</f>
        <v/>
      </c>
      <c r="N10" s="12">
        <f>IFERROR(J10/B10,0)</f>
        <v/>
      </c>
      <c r="O10" s="12">
        <f>IFERROR(I10/B10,0)</f>
        <v/>
      </c>
    </row>
    <row r="11">
      <c r="A11" s="10" t="inlineStr">
        <is>
          <t>Replenishment</t>
        </is>
      </c>
      <c r="B11" s="11">
        <f>COUNTIFS(RTM!$C$2:$C$247,$A11)</f>
        <v/>
      </c>
      <c r="C11" s="11">
        <f>COUNTIFS(RTM!$C$2:$C$247,$A11,RTM!$B$2:$B$247,"Requirement")</f>
        <v/>
      </c>
      <c r="D11" s="11">
        <f>COUNTIFS(RTM!$C$2:$C$247,$A11,RTM!$B$2:$B$247,"Interface")</f>
        <v/>
      </c>
      <c r="E11" s="11">
        <f>COUNTIFS(RTM!$C$2:$C$247,$A11,RTM!$B$2:$B$247,"Exception")</f>
        <v/>
      </c>
      <c r="F11" s="11">
        <f>COUNTIFS(RTM!$C$2:$C$247,$A11,RTM!$H$2:$H$247,"M")</f>
        <v/>
      </c>
      <c r="G11" s="11">
        <f>COUNTIFS(RTM!$C$2:$C$247,$A11,RTM!$H$2:$H$247,"S")</f>
        <v/>
      </c>
      <c r="H11" s="11">
        <f>COUNTIFS(RTM!$C$2:$C$247,$A11,RTM!$H$2:$H$247,"C")</f>
        <v/>
      </c>
      <c r="I11" s="11">
        <f>COUNTIFS(RTM!$C$2:$C$247,$A11,RTM!$I$2:$I$247,"?*")</f>
        <v/>
      </c>
      <c r="J11" s="11">
        <f>COUNTIFS(RTM!$C$2:$C$247,$A11,RTM!$N$2:$N$247,"Passed")</f>
        <v/>
      </c>
      <c r="K11" s="11">
        <f>COUNTIFS(RTM!$C$2:$C$247,$A11,RTM!$N$2:$N$247,"Failed")+COUNTIFS(RTM!$C$2:$C$247,$A11,RTM!$N$2:$N$247,"Blocked")</f>
        <v/>
      </c>
      <c r="L11" s="11">
        <f>COUNTIFS(RTM!$C$2:$C$247,$A11,RTM!$N$2:$N$247,"In Progress")</f>
        <v/>
      </c>
      <c r="M11" s="11">
        <f>COUNTIFS(RTM!$C$2:$C$247,$A11,RTM!$N$2:$N$247,"Not Started")</f>
        <v/>
      </c>
      <c r="N11" s="12">
        <f>IFERROR(J11/B11,0)</f>
        <v/>
      </c>
      <c r="O11" s="12">
        <f>IFERROR(I11/B11,0)</f>
        <v/>
      </c>
    </row>
    <row r="12">
      <c r="A12" s="10" t="inlineStr">
        <is>
          <t>Returns</t>
        </is>
      </c>
      <c r="B12" s="11">
        <f>COUNTIFS(RTM!$C$2:$C$247,$A12)</f>
        <v/>
      </c>
      <c r="C12" s="11">
        <f>COUNTIFS(RTM!$C$2:$C$247,$A12,RTM!$B$2:$B$247,"Requirement")</f>
        <v/>
      </c>
      <c r="D12" s="11">
        <f>COUNTIFS(RTM!$C$2:$C$247,$A12,RTM!$B$2:$B$247,"Interface")</f>
        <v/>
      </c>
      <c r="E12" s="11">
        <f>COUNTIFS(RTM!$C$2:$C$247,$A12,RTM!$B$2:$B$247,"Exception")</f>
        <v/>
      </c>
      <c r="F12" s="11">
        <f>COUNTIFS(RTM!$C$2:$C$247,$A12,RTM!$H$2:$H$247,"M")</f>
        <v/>
      </c>
      <c r="G12" s="11">
        <f>COUNTIFS(RTM!$C$2:$C$247,$A12,RTM!$H$2:$H$247,"S")</f>
        <v/>
      </c>
      <c r="H12" s="11">
        <f>COUNTIFS(RTM!$C$2:$C$247,$A12,RTM!$H$2:$H$247,"C")</f>
        <v/>
      </c>
      <c r="I12" s="11">
        <f>COUNTIFS(RTM!$C$2:$C$247,$A12,RTM!$I$2:$I$247,"?*")</f>
        <v/>
      </c>
      <c r="J12" s="11">
        <f>COUNTIFS(RTM!$C$2:$C$247,$A12,RTM!$N$2:$N$247,"Passed")</f>
        <v/>
      </c>
      <c r="K12" s="11">
        <f>COUNTIFS(RTM!$C$2:$C$247,$A12,RTM!$N$2:$N$247,"Failed")+COUNTIFS(RTM!$C$2:$C$247,$A12,RTM!$N$2:$N$247,"Blocked")</f>
        <v/>
      </c>
      <c r="L12" s="11">
        <f>COUNTIFS(RTM!$C$2:$C$247,$A12,RTM!$N$2:$N$247,"In Progress")</f>
        <v/>
      </c>
      <c r="M12" s="11">
        <f>COUNTIFS(RTM!$C$2:$C$247,$A12,RTM!$N$2:$N$247,"Not Started")</f>
        <v/>
      </c>
      <c r="N12" s="12">
        <f>IFERROR(J12/B12,0)</f>
        <v/>
      </c>
      <c r="O12" s="12">
        <f>IFERROR(I12/B12,0)</f>
        <v/>
      </c>
    </row>
    <row r="13">
      <c r="A13" s="10" t="inlineStr">
        <is>
          <t>Cross-Docking</t>
        </is>
      </c>
      <c r="B13" s="11">
        <f>COUNTIFS(RTM!$C$2:$C$247,$A13)</f>
        <v/>
      </c>
      <c r="C13" s="11">
        <f>COUNTIFS(RTM!$C$2:$C$247,$A13,RTM!$B$2:$B$247,"Requirement")</f>
        <v/>
      </c>
      <c r="D13" s="11">
        <f>COUNTIFS(RTM!$C$2:$C$247,$A13,RTM!$B$2:$B$247,"Interface")</f>
        <v/>
      </c>
      <c r="E13" s="11">
        <f>COUNTIFS(RTM!$C$2:$C$247,$A13,RTM!$B$2:$B$247,"Exception")</f>
        <v/>
      </c>
      <c r="F13" s="11">
        <f>COUNTIFS(RTM!$C$2:$C$247,$A13,RTM!$H$2:$H$247,"M")</f>
        <v/>
      </c>
      <c r="G13" s="11">
        <f>COUNTIFS(RTM!$C$2:$C$247,$A13,RTM!$H$2:$H$247,"S")</f>
        <v/>
      </c>
      <c r="H13" s="11">
        <f>COUNTIFS(RTM!$C$2:$C$247,$A13,RTM!$H$2:$H$247,"C")</f>
        <v/>
      </c>
      <c r="I13" s="11">
        <f>COUNTIFS(RTM!$C$2:$C$247,$A13,RTM!$I$2:$I$247,"?*")</f>
        <v/>
      </c>
      <c r="J13" s="11">
        <f>COUNTIFS(RTM!$C$2:$C$247,$A13,RTM!$N$2:$N$247,"Passed")</f>
        <v/>
      </c>
      <c r="K13" s="11">
        <f>COUNTIFS(RTM!$C$2:$C$247,$A13,RTM!$N$2:$N$247,"Failed")+COUNTIFS(RTM!$C$2:$C$247,$A13,RTM!$N$2:$N$247,"Blocked")</f>
        <v/>
      </c>
      <c r="L13" s="11">
        <f>COUNTIFS(RTM!$C$2:$C$247,$A13,RTM!$N$2:$N$247,"In Progress")</f>
        <v/>
      </c>
      <c r="M13" s="11">
        <f>COUNTIFS(RTM!$C$2:$C$247,$A13,RTM!$N$2:$N$247,"Not Started")</f>
        <v/>
      </c>
      <c r="N13" s="12">
        <f>IFERROR(J13/B13,0)</f>
        <v/>
      </c>
      <c r="O13" s="12">
        <f>IFERROR(I13/B13,0)</f>
        <v/>
      </c>
    </row>
    <row r="14">
      <c r="A14" s="10" t="inlineStr">
        <is>
          <t>Value-Added Services</t>
        </is>
      </c>
      <c r="B14" s="11">
        <f>COUNTIFS(RTM!$C$2:$C$247,$A14)</f>
        <v/>
      </c>
      <c r="C14" s="11">
        <f>COUNTIFS(RTM!$C$2:$C$247,$A14,RTM!$B$2:$B$247,"Requirement")</f>
        <v/>
      </c>
      <c r="D14" s="11">
        <f>COUNTIFS(RTM!$C$2:$C$247,$A14,RTM!$B$2:$B$247,"Interface")</f>
        <v/>
      </c>
      <c r="E14" s="11">
        <f>COUNTIFS(RTM!$C$2:$C$247,$A14,RTM!$B$2:$B$247,"Exception")</f>
        <v/>
      </c>
      <c r="F14" s="11">
        <f>COUNTIFS(RTM!$C$2:$C$247,$A14,RTM!$H$2:$H$247,"M")</f>
        <v/>
      </c>
      <c r="G14" s="11">
        <f>COUNTIFS(RTM!$C$2:$C$247,$A14,RTM!$H$2:$H$247,"S")</f>
        <v/>
      </c>
      <c r="H14" s="11">
        <f>COUNTIFS(RTM!$C$2:$C$247,$A14,RTM!$H$2:$H$247,"C")</f>
        <v/>
      </c>
      <c r="I14" s="11">
        <f>COUNTIFS(RTM!$C$2:$C$247,$A14,RTM!$I$2:$I$247,"?*")</f>
        <v/>
      </c>
      <c r="J14" s="11">
        <f>COUNTIFS(RTM!$C$2:$C$247,$A14,RTM!$N$2:$N$247,"Passed")</f>
        <v/>
      </c>
      <c r="K14" s="11">
        <f>COUNTIFS(RTM!$C$2:$C$247,$A14,RTM!$N$2:$N$247,"Failed")+COUNTIFS(RTM!$C$2:$C$247,$A14,RTM!$N$2:$N$247,"Blocked")</f>
        <v/>
      </c>
      <c r="L14" s="11">
        <f>COUNTIFS(RTM!$C$2:$C$247,$A14,RTM!$N$2:$N$247,"In Progress")</f>
        <v/>
      </c>
      <c r="M14" s="11">
        <f>COUNTIFS(RTM!$C$2:$C$247,$A14,RTM!$N$2:$N$247,"Not Started")</f>
        <v/>
      </c>
      <c r="N14" s="12">
        <f>IFERROR(J14/B14,0)</f>
        <v/>
      </c>
      <c r="O14" s="12">
        <f>IFERROR(I14/B14,0)</f>
        <v/>
      </c>
    </row>
    <row r="15">
      <c r="A15" s="10" t="inlineStr">
        <is>
          <t>Kitting / Light Mfg</t>
        </is>
      </c>
      <c r="B15" s="11">
        <f>COUNTIFS(RTM!$C$2:$C$247,$A15)</f>
        <v/>
      </c>
      <c r="C15" s="11">
        <f>COUNTIFS(RTM!$C$2:$C$247,$A15,RTM!$B$2:$B$247,"Requirement")</f>
        <v/>
      </c>
      <c r="D15" s="11">
        <f>COUNTIFS(RTM!$C$2:$C$247,$A15,RTM!$B$2:$B$247,"Interface")</f>
        <v/>
      </c>
      <c r="E15" s="11">
        <f>COUNTIFS(RTM!$C$2:$C$247,$A15,RTM!$B$2:$B$247,"Exception")</f>
        <v/>
      </c>
      <c r="F15" s="11">
        <f>COUNTIFS(RTM!$C$2:$C$247,$A15,RTM!$H$2:$H$247,"M")</f>
        <v/>
      </c>
      <c r="G15" s="11">
        <f>COUNTIFS(RTM!$C$2:$C$247,$A15,RTM!$H$2:$H$247,"S")</f>
        <v/>
      </c>
      <c r="H15" s="11">
        <f>COUNTIFS(RTM!$C$2:$C$247,$A15,RTM!$H$2:$H$247,"C")</f>
        <v/>
      </c>
      <c r="I15" s="11">
        <f>COUNTIFS(RTM!$C$2:$C$247,$A15,RTM!$I$2:$I$247,"?*")</f>
        <v/>
      </c>
      <c r="J15" s="11">
        <f>COUNTIFS(RTM!$C$2:$C$247,$A15,RTM!$N$2:$N$247,"Passed")</f>
        <v/>
      </c>
      <c r="K15" s="11">
        <f>COUNTIFS(RTM!$C$2:$C$247,$A15,RTM!$N$2:$N$247,"Failed")+COUNTIFS(RTM!$C$2:$C$247,$A15,RTM!$N$2:$N$247,"Blocked")</f>
        <v/>
      </c>
      <c r="L15" s="11">
        <f>COUNTIFS(RTM!$C$2:$C$247,$A15,RTM!$N$2:$N$247,"In Progress")</f>
        <v/>
      </c>
      <c r="M15" s="11">
        <f>COUNTIFS(RTM!$C$2:$C$247,$A15,RTM!$N$2:$N$247,"Not Started")</f>
        <v/>
      </c>
      <c r="N15" s="12">
        <f>IFERROR(J15/B15,0)</f>
        <v/>
      </c>
      <c r="O15" s="12">
        <f>IFERROR(I15/B15,0)</f>
        <v/>
      </c>
    </row>
    <row r="16">
      <c r="A16" s="10" t="inlineStr">
        <is>
          <t>Quality Management</t>
        </is>
      </c>
      <c r="B16" s="11">
        <f>COUNTIFS(RTM!$C$2:$C$247,$A16)</f>
        <v/>
      </c>
      <c r="C16" s="11">
        <f>COUNTIFS(RTM!$C$2:$C$247,$A16,RTM!$B$2:$B$247,"Requirement")</f>
        <v/>
      </c>
      <c r="D16" s="11">
        <f>COUNTIFS(RTM!$C$2:$C$247,$A16,RTM!$B$2:$B$247,"Interface")</f>
        <v/>
      </c>
      <c r="E16" s="11">
        <f>COUNTIFS(RTM!$C$2:$C$247,$A16,RTM!$B$2:$B$247,"Exception")</f>
        <v/>
      </c>
      <c r="F16" s="11">
        <f>COUNTIFS(RTM!$C$2:$C$247,$A16,RTM!$H$2:$H$247,"M")</f>
        <v/>
      </c>
      <c r="G16" s="11">
        <f>COUNTIFS(RTM!$C$2:$C$247,$A16,RTM!$H$2:$H$247,"S")</f>
        <v/>
      </c>
      <c r="H16" s="11">
        <f>COUNTIFS(RTM!$C$2:$C$247,$A16,RTM!$H$2:$H$247,"C")</f>
        <v/>
      </c>
      <c r="I16" s="11">
        <f>COUNTIFS(RTM!$C$2:$C$247,$A16,RTM!$I$2:$I$247,"?*")</f>
        <v/>
      </c>
      <c r="J16" s="11">
        <f>COUNTIFS(RTM!$C$2:$C$247,$A16,RTM!$N$2:$N$247,"Passed")</f>
        <v/>
      </c>
      <c r="K16" s="11">
        <f>COUNTIFS(RTM!$C$2:$C$247,$A16,RTM!$N$2:$N$247,"Failed")+COUNTIFS(RTM!$C$2:$C$247,$A16,RTM!$N$2:$N$247,"Blocked")</f>
        <v/>
      </c>
      <c r="L16" s="11">
        <f>COUNTIFS(RTM!$C$2:$C$247,$A16,RTM!$N$2:$N$247,"In Progress")</f>
        <v/>
      </c>
      <c r="M16" s="11">
        <f>COUNTIFS(RTM!$C$2:$C$247,$A16,RTM!$N$2:$N$247,"Not Started")</f>
        <v/>
      </c>
      <c r="N16" s="12">
        <f>IFERROR(J16/B16,0)</f>
        <v/>
      </c>
      <c r="O16" s="12">
        <f>IFERROR(I16/B16,0)</f>
        <v/>
      </c>
    </row>
    <row r="17">
      <c r="A17" s="10" t="inlineStr">
        <is>
          <t>Multi-WH &amp; 3PL</t>
        </is>
      </c>
      <c r="B17" s="11">
        <f>COUNTIFS(RTM!$C$2:$C$247,$A17)</f>
        <v/>
      </c>
      <c r="C17" s="11">
        <f>COUNTIFS(RTM!$C$2:$C$247,$A17,RTM!$B$2:$B$247,"Requirement")</f>
        <v/>
      </c>
      <c r="D17" s="11">
        <f>COUNTIFS(RTM!$C$2:$C$247,$A17,RTM!$B$2:$B$247,"Interface")</f>
        <v/>
      </c>
      <c r="E17" s="11">
        <f>COUNTIFS(RTM!$C$2:$C$247,$A17,RTM!$B$2:$B$247,"Exception")</f>
        <v/>
      </c>
      <c r="F17" s="11">
        <f>COUNTIFS(RTM!$C$2:$C$247,$A17,RTM!$H$2:$H$247,"M")</f>
        <v/>
      </c>
      <c r="G17" s="11">
        <f>COUNTIFS(RTM!$C$2:$C$247,$A17,RTM!$H$2:$H$247,"S")</f>
        <v/>
      </c>
      <c r="H17" s="11">
        <f>COUNTIFS(RTM!$C$2:$C$247,$A17,RTM!$H$2:$H$247,"C")</f>
        <v/>
      </c>
      <c r="I17" s="11">
        <f>COUNTIFS(RTM!$C$2:$C$247,$A17,RTM!$I$2:$I$247,"?*")</f>
        <v/>
      </c>
      <c r="J17" s="11">
        <f>COUNTIFS(RTM!$C$2:$C$247,$A17,RTM!$N$2:$N$247,"Passed")</f>
        <v/>
      </c>
      <c r="K17" s="11">
        <f>COUNTIFS(RTM!$C$2:$C$247,$A17,RTM!$N$2:$N$247,"Failed")+COUNTIFS(RTM!$C$2:$C$247,$A17,RTM!$N$2:$N$247,"Blocked")</f>
        <v/>
      </c>
      <c r="L17" s="11">
        <f>COUNTIFS(RTM!$C$2:$C$247,$A17,RTM!$N$2:$N$247,"In Progress")</f>
        <v/>
      </c>
      <c r="M17" s="11">
        <f>COUNTIFS(RTM!$C$2:$C$247,$A17,RTM!$N$2:$N$247,"Not Started")</f>
        <v/>
      </c>
      <c r="N17" s="12">
        <f>IFERROR(J17/B17,0)</f>
        <v/>
      </c>
      <c r="O17" s="12">
        <f>IFERROR(I17/B17,0)</f>
        <v/>
      </c>
    </row>
    <row r="18">
      <c r="A18" s="10" t="inlineStr">
        <is>
          <t>Cold Chain &amp; HazMat</t>
        </is>
      </c>
      <c r="B18" s="11">
        <f>COUNTIFS(RTM!$C$2:$C$247,$A18)</f>
        <v/>
      </c>
      <c r="C18" s="11">
        <f>COUNTIFS(RTM!$C$2:$C$247,$A18,RTM!$B$2:$B$247,"Requirement")</f>
        <v/>
      </c>
      <c r="D18" s="11">
        <f>COUNTIFS(RTM!$C$2:$C$247,$A18,RTM!$B$2:$B$247,"Interface")</f>
        <v/>
      </c>
      <c r="E18" s="11">
        <f>COUNTIFS(RTM!$C$2:$C$247,$A18,RTM!$B$2:$B$247,"Exception")</f>
        <v/>
      </c>
      <c r="F18" s="11">
        <f>COUNTIFS(RTM!$C$2:$C$247,$A18,RTM!$H$2:$H$247,"M")</f>
        <v/>
      </c>
      <c r="G18" s="11">
        <f>COUNTIFS(RTM!$C$2:$C$247,$A18,RTM!$H$2:$H$247,"S")</f>
        <v/>
      </c>
      <c r="H18" s="11">
        <f>COUNTIFS(RTM!$C$2:$C$247,$A18,RTM!$H$2:$H$247,"C")</f>
        <v/>
      </c>
      <c r="I18" s="11">
        <f>COUNTIFS(RTM!$C$2:$C$247,$A18,RTM!$I$2:$I$247,"?*")</f>
        <v/>
      </c>
      <c r="J18" s="11">
        <f>COUNTIFS(RTM!$C$2:$C$247,$A18,RTM!$N$2:$N$247,"Passed")</f>
        <v/>
      </c>
      <c r="K18" s="11">
        <f>COUNTIFS(RTM!$C$2:$C$247,$A18,RTM!$N$2:$N$247,"Failed")+COUNTIFS(RTM!$C$2:$C$247,$A18,RTM!$N$2:$N$247,"Blocked")</f>
        <v/>
      </c>
      <c r="L18" s="11">
        <f>COUNTIFS(RTM!$C$2:$C$247,$A18,RTM!$N$2:$N$247,"In Progress")</f>
        <v/>
      </c>
      <c r="M18" s="11">
        <f>COUNTIFS(RTM!$C$2:$C$247,$A18,RTM!$N$2:$N$247,"Not Started")</f>
        <v/>
      </c>
      <c r="N18" s="12">
        <f>IFERROR(J18/B18,0)</f>
        <v/>
      </c>
      <c r="O18" s="12">
        <f>IFERROR(I18/B18,0)</f>
        <v/>
      </c>
    </row>
    <row r="19">
      <c r="A19" s="10" t="inlineStr">
        <is>
          <t>Advanced Features</t>
        </is>
      </c>
      <c r="B19" s="11">
        <f>COUNTIFS(RTM!$C$2:$C$247,$A19)</f>
        <v/>
      </c>
      <c r="C19" s="11">
        <f>COUNTIFS(RTM!$C$2:$C$247,$A19,RTM!$B$2:$B$247,"Requirement")</f>
        <v/>
      </c>
      <c r="D19" s="11">
        <f>COUNTIFS(RTM!$C$2:$C$247,$A19,RTM!$B$2:$B$247,"Interface")</f>
        <v/>
      </c>
      <c r="E19" s="11">
        <f>COUNTIFS(RTM!$C$2:$C$247,$A19,RTM!$B$2:$B$247,"Exception")</f>
        <v/>
      </c>
      <c r="F19" s="11">
        <f>COUNTIFS(RTM!$C$2:$C$247,$A19,RTM!$H$2:$H$247,"M")</f>
        <v/>
      </c>
      <c r="G19" s="11">
        <f>COUNTIFS(RTM!$C$2:$C$247,$A19,RTM!$H$2:$H$247,"S")</f>
        <v/>
      </c>
      <c r="H19" s="11">
        <f>COUNTIFS(RTM!$C$2:$C$247,$A19,RTM!$H$2:$H$247,"C")</f>
        <v/>
      </c>
      <c r="I19" s="11">
        <f>COUNTIFS(RTM!$C$2:$C$247,$A19,RTM!$I$2:$I$247,"?*")</f>
        <v/>
      </c>
      <c r="J19" s="11">
        <f>COUNTIFS(RTM!$C$2:$C$247,$A19,RTM!$N$2:$N$247,"Passed")</f>
        <v/>
      </c>
      <c r="K19" s="11">
        <f>COUNTIFS(RTM!$C$2:$C$247,$A19,RTM!$N$2:$N$247,"Failed")+COUNTIFS(RTM!$C$2:$C$247,$A19,RTM!$N$2:$N$247,"Blocked")</f>
        <v/>
      </c>
      <c r="L19" s="11">
        <f>COUNTIFS(RTM!$C$2:$C$247,$A19,RTM!$N$2:$N$247,"In Progress")</f>
        <v/>
      </c>
      <c r="M19" s="11">
        <f>COUNTIFS(RTM!$C$2:$C$247,$A19,RTM!$N$2:$N$247,"Not Started")</f>
        <v/>
      </c>
      <c r="N19" s="12">
        <f>IFERROR(J19/B19,0)</f>
        <v/>
      </c>
      <c r="O19" s="12">
        <f>IFERROR(I19/B19,0)</f>
        <v/>
      </c>
    </row>
    <row r="20">
      <c r="A20" s="10" t="inlineStr">
        <is>
          <t>ERP Integration</t>
        </is>
      </c>
      <c r="B20" s="11">
        <f>COUNTIFS(RTM!$C$2:$C$247,$A20)</f>
        <v/>
      </c>
      <c r="C20" s="11">
        <f>COUNTIFS(RTM!$C$2:$C$247,$A20,RTM!$B$2:$B$247,"Requirement")</f>
        <v/>
      </c>
      <c r="D20" s="11">
        <f>COUNTIFS(RTM!$C$2:$C$247,$A20,RTM!$B$2:$B$247,"Interface")</f>
        <v/>
      </c>
      <c r="E20" s="11">
        <f>COUNTIFS(RTM!$C$2:$C$247,$A20,RTM!$B$2:$B$247,"Exception")</f>
        <v/>
      </c>
      <c r="F20" s="11">
        <f>COUNTIFS(RTM!$C$2:$C$247,$A20,RTM!$H$2:$H$247,"M")</f>
        <v/>
      </c>
      <c r="G20" s="11">
        <f>COUNTIFS(RTM!$C$2:$C$247,$A20,RTM!$H$2:$H$247,"S")</f>
        <v/>
      </c>
      <c r="H20" s="11">
        <f>COUNTIFS(RTM!$C$2:$C$247,$A20,RTM!$H$2:$H$247,"C")</f>
        <v/>
      </c>
      <c r="I20" s="11">
        <f>COUNTIFS(RTM!$C$2:$C$247,$A20,RTM!$I$2:$I$247,"?*")</f>
        <v/>
      </c>
      <c r="J20" s="11">
        <f>COUNTIFS(RTM!$C$2:$C$247,$A20,RTM!$N$2:$N$247,"Passed")</f>
        <v/>
      </c>
      <c r="K20" s="11">
        <f>COUNTIFS(RTM!$C$2:$C$247,$A20,RTM!$N$2:$N$247,"Failed")+COUNTIFS(RTM!$C$2:$C$247,$A20,RTM!$N$2:$N$247,"Blocked")</f>
        <v/>
      </c>
      <c r="L20" s="11">
        <f>COUNTIFS(RTM!$C$2:$C$247,$A20,RTM!$N$2:$N$247,"In Progress")</f>
        <v/>
      </c>
      <c r="M20" s="11">
        <f>COUNTIFS(RTM!$C$2:$C$247,$A20,RTM!$N$2:$N$247,"Not Started")</f>
        <v/>
      </c>
      <c r="N20" s="12">
        <f>IFERROR(J20/B20,0)</f>
        <v/>
      </c>
      <c r="O20" s="12">
        <f>IFERROR(I20/B20,0)</f>
        <v/>
      </c>
    </row>
    <row r="21">
      <c r="A21" s="10" t="inlineStr">
        <is>
          <t>ERP Interfaces</t>
        </is>
      </c>
      <c r="B21" s="11">
        <f>COUNTIFS(RTM!$C$2:$C$247,$A21)</f>
        <v/>
      </c>
      <c r="C21" s="11">
        <f>COUNTIFS(RTM!$C$2:$C$247,$A21,RTM!$B$2:$B$247,"Requirement")</f>
        <v/>
      </c>
      <c r="D21" s="11">
        <f>COUNTIFS(RTM!$C$2:$C$247,$A21,RTM!$B$2:$B$247,"Interface")</f>
        <v/>
      </c>
      <c r="E21" s="11">
        <f>COUNTIFS(RTM!$C$2:$C$247,$A21,RTM!$B$2:$B$247,"Exception")</f>
        <v/>
      </c>
      <c r="F21" s="11">
        <f>COUNTIFS(RTM!$C$2:$C$247,$A21,RTM!$H$2:$H$247,"M")</f>
        <v/>
      </c>
      <c r="G21" s="11">
        <f>COUNTIFS(RTM!$C$2:$C$247,$A21,RTM!$H$2:$H$247,"S")</f>
        <v/>
      </c>
      <c r="H21" s="11">
        <f>COUNTIFS(RTM!$C$2:$C$247,$A21,RTM!$H$2:$H$247,"C")</f>
        <v/>
      </c>
      <c r="I21" s="11">
        <f>COUNTIFS(RTM!$C$2:$C$247,$A21,RTM!$I$2:$I$247,"?*")</f>
        <v/>
      </c>
      <c r="J21" s="11">
        <f>COUNTIFS(RTM!$C$2:$C$247,$A21,RTM!$N$2:$N$247,"Passed")</f>
        <v/>
      </c>
      <c r="K21" s="11">
        <f>COUNTIFS(RTM!$C$2:$C$247,$A21,RTM!$N$2:$N$247,"Failed")+COUNTIFS(RTM!$C$2:$C$247,$A21,RTM!$N$2:$N$247,"Blocked")</f>
        <v/>
      </c>
      <c r="L21" s="11">
        <f>COUNTIFS(RTM!$C$2:$C$247,$A21,RTM!$N$2:$N$247,"In Progress")</f>
        <v/>
      </c>
      <c r="M21" s="11">
        <f>COUNTIFS(RTM!$C$2:$C$247,$A21,RTM!$N$2:$N$247,"Not Started")</f>
        <v/>
      </c>
      <c r="N21" s="12">
        <f>IFERROR(J21/B21,0)</f>
        <v/>
      </c>
      <c r="O21" s="12">
        <f>IFERROR(I21/B21,0)</f>
        <v/>
      </c>
    </row>
    <row r="22">
      <c r="A22" s="10" t="inlineStr">
        <is>
          <t>Non-Functional</t>
        </is>
      </c>
      <c r="B22" s="11">
        <f>COUNTIFS(RTM!$C$2:$C$247,$A22)</f>
        <v/>
      </c>
      <c r="C22" s="11">
        <f>COUNTIFS(RTM!$C$2:$C$247,$A22,RTM!$B$2:$B$247,"Requirement")</f>
        <v/>
      </c>
      <c r="D22" s="11">
        <f>COUNTIFS(RTM!$C$2:$C$247,$A22,RTM!$B$2:$B$247,"Interface")</f>
        <v/>
      </c>
      <c r="E22" s="11">
        <f>COUNTIFS(RTM!$C$2:$C$247,$A22,RTM!$B$2:$B$247,"Exception")</f>
        <v/>
      </c>
      <c r="F22" s="11">
        <f>COUNTIFS(RTM!$C$2:$C$247,$A22,RTM!$H$2:$H$247,"M")</f>
        <v/>
      </c>
      <c r="G22" s="11">
        <f>COUNTIFS(RTM!$C$2:$C$247,$A22,RTM!$H$2:$H$247,"S")</f>
        <v/>
      </c>
      <c r="H22" s="11">
        <f>COUNTIFS(RTM!$C$2:$C$247,$A22,RTM!$H$2:$H$247,"C")</f>
        <v/>
      </c>
      <c r="I22" s="11">
        <f>COUNTIFS(RTM!$C$2:$C$247,$A22,RTM!$I$2:$I$247,"?*")</f>
        <v/>
      </c>
      <c r="J22" s="11">
        <f>COUNTIFS(RTM!$C$2:$C$247,$A22,RTM!$N$2:$N$247,"Passed")</f>
        <v/>
      </c>
      <c r="K22" s="11">
        <f>COUNTIFS(RTM!$C$2:$C$247,$A22,RTM!$N$2:$N$247,"Failed")+COUNTIFS(RTM!$C$2:$C$247,$A22,RTM!$N$2:$N$247,"Blocked")</f>
        <v/>
      </c>
      <c r="L22" s="11">
        <f>COUNTIFS(RTM!$C$2:$C$247,$A22,RTM!$N$2:$N$247,"In Progress")</f>
        <v/>
      </c>
      <c r="M22" s="11">
        <f>COUNTIFS(RTM!$C$2:$C$247,$A22,RTM!$N$2:$N$247,"Not Started")</f>
        <v/>
      </c>
      <c r="N22" s="12">
        <f>IFERROR(J22/B22,0)</f>
        <v/>
      </c>
      <c r="O22" s="12">
        <f>IFERROR(I22/B22,0)</f>
        <v/>
      </c>
    </row>
    <row r="23">
      <c r="A23" s="13" t="inlineStr">
        <is>
          <t>TOTAL</t>
        </is>
      </c>
      <c r="B23" s="14">
        <f>SUM(B5:B22)</f>
        <v/>
      </c>
      <c r="C23" s="14">
        <f>SUM(C5:C22)</f>
        <v/>
      </c>
      <c r="D23" s="14">
        <f>SUM(D5:D22)</f>
        <v/>
      </c>
      <c r="E23" s="14">
        <f>SUM(E5:E22)</f>
        <v/>
      </c>
      <c r="F23" s="14">
        <f>SUM(F5:F22)</f>
        <v/>
      </c>
      <c r="G23" s="14">
        <f>SUM(G5:G22)</f>
        <v/>
      </c>
      <c r="H23" s="14">
        <f>SUM(H5:H22)</f>
        <v/>
      </c>
      <c r="I23" s="14">
        <f>SUM(I5:I22)</f>
        <v/>
      </c>
      <c r="J23" s="14">
        <f>SUM(J5:J22)</f>
        <v/>
      </c>
      <c r="K23" s="14">
        <f>SUM(K5:K22)</f>
        <v/>
      </c>
      <c r="L23" s="14">
        <f>SUM(L5:L22)</f>
        <v/>
      </c>
      <c r="M23" s="14">
        <f>SUM(M5:M22)</f>
        <v/>
      </c>
      <c r="N23" s="15">
        <f>IFERROR(J23/B23,0)</f>
        <v/>
      </c>
      <c r="O23" s="15">
        <f>IFERROR(I23/B23,0)</f>
        <v/>
      </c>
    </row>
    <row r="25">
      <c r="A25" s="16" t="inlineStr">
        <is>
          <t>Check: RTM row count</t>
        </is>
      </c>
      <c r="B25" s="16">
        <f>COUNTA(RTM!$A$2:$A$247)</f>
        <v/>
      </c>
      <c r="C25" s="16">
        <f>IF(B25=B23,"OK - all rows mapped to an area","MISMATCH")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6" customWidth="1" min="4" max="4"/>
    <col width="30" customWidth="1" min="5" max="5"/>
    <col width="55" customWidth="1" min="6" max="6"/>
    <col width="55" customWidth="1" min="7" max="7"/>
    <col width="9" customWidth="1" min="8" max="8"/>
    <col width="16" customWidth="1" min="9" max="9"/>
    <col width="18" customWidth="1" min="10" max="10"/>
    <col width="18" customWidth="1" min="11" max="11"/>
    <col width="30" customWidth="1" min="12" max="12"/>
    <col width="12" customWidth="1" min="13" max="13"/>
    <col width="13" customWidth="1" min="14" max="14"/>
    <col width="14" customWidth="1" min="15" max="15"/>
    <col width="16" customWidth="1" min="16" max="16"/>
    <col width="40" customWidth="1" min="17" max="17"/>
  </cols>
  <sheetData>
    <row r="1" ht="32" customHeight="1">
      <c r="A1" s="9" t="inlineStr">
        <is>
          <t>Req ID</t>
        </is>
      </c>
      <c r="B1" s="9" t="inlineStr">
        <is>
          <t>Type</t>
        </is>
      </c>
      <c r="C1" s="9" t="inlineStr">
        <is>
          <t>Area</t>
        </is>
      </c>
      <c r="D1" s="9" t="inlineStr">
        <is>
          <t>Section</t>
        </is>
      </c>
      <c r="E1" s="9" t="inlineStr">
        <is>
          <t>Source Document</t>
        </is>
      </c>
      <c r="F1" s="9" t="inlineStr">
        <is>
          <t>Requirement / Exception</t>
        </is>
      </c>
      <c r="G1" s="9" t="inlineStr">
        <is>
          <t>Acceptance Criteria / Expected Behaviour</t>
        </is>
      </c>
      <c r="H1" s="9" t="inlineStr">
        <is>
          <t>Priority</t>
        </is>
      </c>
      <c r="I1" s="17" t="inlineStr">
        <is>
          <t>Fit-Gap Disposition</t>
        </is>
      </c>
      <c r="J1" s="17" t="inlineStr">
        <is>
          <t>Design Reference</t>
        </is>
      </c>
      <c r="K1" s="9" t="inlineStr">
        <is>
          <t>Test Case ID</t>
        </is>
      </c>
      <c r="L1" s="9" t="inlineStr">
        <is>
          <t>Test Type</t>
        </is>
      </c>
      <c r="M1" s="9" t="inlineStr">
        <is>
          <t>Test Phase</t>
        </is>
      </c>
      <c r="N1" s="17" t="inlineStr">
        <is>
          <t>Test Status</t>
        </is>
      </c>
      <c r="O1" s="17" t="inlineStr">
        <is>
          <t>Defect ID(s)</t>
        </is>
      </c>
      <c r="P1" s="17" t="inlineStr">
        <is>
          <t>Owner</t>
        </is>
      </c>
      <c r="Q1" s="9" t="inlineStr">
        <is>
          <t>Notes</t>
        </is>
      </c>
    </row>
    <row r="2">
      <c r="A2" s="18" t="inlineStr">
        <is>
          <t>INB-001</t>
        </is>
      </c>
      <c r="B2" s="18" t="inlineStr">
        <is>
          <t>Requirement</t>
        </is>
      </c>
      <c r="C2" s="18" t="inlineStr">
        <is>
          <t>Inbound</t>
        </is>
      </c>
      <c r="D2" s="18" t="inlineStr">
        <is>
          <t>1.3 System Rules</t>
        </is>
      </c>
      <c r="E2" s="18" t="inlineStr">
        <is>
          <t>docs/scope/02-functional-inbound-storage.md</t>
        </is>
      </c>
      <c r="F2" s="18" t="inlineStr">
        <is>
          <t>Receipt against an expectation must validate the item against the expectation lines. Unexpected items are blocked unless the user holds INB_RECEIVE_UNEXPECTED.</t>
        </is>
      </c>
      <c r="G2" s="18" t="inlineStr">
        <is>
          <t>Rule/requirement enforced as stated (positive + negative case)</t>
        </is>
      </c>
      <c r="H2" s="18" t="inlineStr">
        <is>
          <t>M</t>
        </is>
      </c>
      <c r="I2" s="18" t="n"/>
      <c r="J2" s="18" t="n"/>
      <c r="K2" s="18" t="inlineStr">
        <is>
          <t>TC-INB-001-01</t>
        </is>
      </c>
      <c r="L2" s="18" t="inlineStr">
        <is>
          <t>Functional (rule test harness + E2E scenario)</t>
        </is>
      </c>
      <c r="M2" s="18" t="inlineStr">
        <is>
          <t>SIT; UAT</t>
        </is>
      </c>
      <c r="N2" s="18" t="inlineStr">
        <is>
          <t>Not Started</t>
        </is>
      </c>
      <c r="O2" s="18" t="n"/>
      <c r="P2" s="18" t="n"/>
      <c r="Q2" s="18" t="inlineStr"/>
    </row>
    <row r="3">
      <c r="A3" s="18" t="inlineStr">
        <is>
          <t>INB-002</t>
        </is>
      </c>
      <c r="B3" s="18" t="inlineStr">
        <is>
          <t>Requirement</t>
        </is>
      </c>
      <c r="C3" s="18" t="inlineStr">
        <is>
          <t>Inbound</t>
        </is>
      </c>
      <c r="D3" s="18" t="inlineStr">
        <is>
          <t>1.3 System Rules</t>
        </is>
      </c>
      <c r="E3" s="18" t="inlineStr">
        <is>
          <t>docs/scope/02-functional-inbound-storage.md</t>
        </is>
      </c>
      <c r="F3" s="18" t="inlineStr">
        <is>
          <t>Over-receipt tolerance is configurable per vendor, item class, and warehouse, as % and absolute units. Exceeding it requires supervisor override with a reason code. The default mirrors the ERP PO over-delivery tolerance (SAP UEBTO, Oracle QTY_RCV_TOLERANCE).</t>
        </is>
      </c>
      <c r="G3" s="18" t="inlineStr">
        <is>
          <t>Rule/requirement enforced as stated (positive + negative case)</t>
        </is>
      </c>
      <c r="H3" s="18" t="inlineStr">
        <is>
          <t>M</t>
        </is>
      </c>
      <c r="I3" s="18" t="n"/>
      <c r="J3" s="18" t="n"/>
      <c r="K3" s="18" t="inlineStr">
        <is>
          <t>TC-INB-002-01</t>
        </is>
      </c>
      <c r="L3" s="18" t="inlineStr">
        <is>
          <t>Functional (rule test harness + E2E scenario)</t>
        </is>
      </c>
      <c r="M3" s="18" t="inlineStr">
        <is>
          <t>SIT; UAT</t>
        </is>
      </c>
      <c r="N3" s="18" t="inlineStr">
        <is>
          <t>Not Started</t>
        </is>
      </c>
      <c r="O3" s="18" t="n"/>
      <c r="P3" s="18" t="n"/>
      <c r="Q3" s="18" t="inlineStr"/>
    </row>
    <row r="4">
      <c r="A4" s="18" t="inlineStr">
        <is>
          <t>INB-003</t>
        </is>
      </c>
      <c r="B4" s="18" t="inlineStr">
        <is>
          <t>Requirement</t>
        </is>
      </c>
      <c r="C4" s="18" t="inlineStr">
        <is>
          <t>Inbound</t>
        </is>
      </c>
      <c r="D4" s="18" t="inlineStr">
        <is>
          <t>1.3 System Rules</t>
        </is>
      </c>
      <c r="E4" s="18" t="inlineStr">
        <is>
          <t>docs/scope/02-functional-inbound-storage.md</t>
        </is>
      </c>
      <c r="F4" s="18" t="inlineStr">
        <is>
          <t>Under-receipt: a receipt may close short. The residual is reported back so the ERP can adjust the delivery or leave the PO open, as configured per flow.</t>
        </is>
      </c>
      <c r="G4" s="18" t="inlineStr">
        <is>
          <t>Rule/requirement enforced as stated (positive + negative case)</t>
        </is>
      </c>
      <c r="H4" s="18" t="inlineStr">
        <is>
          <t>M</t>
        </is>
      </c>
      <c r="I4" s="18" t="n"/>
      <c r="J4" s="18" t="n"/>
      <c r="K4" s="18" t="inlineStr">
        <is>
          <t>TC-INB-003-01</t>
        </is>
      </c>
      <c r="L4" s="18" t="inlineStr">
        <is>
          <t>Functional (rule test harness + E2E scenario)</t>
        </is>
      </c>
      <c r="M4" s="18" t="inlineStr">
        <is>
          <t>SIT; UAT</t>
        </is>
      </c>
      <c r="N4" s="18" t="inlineStr">
        <is>
          <t>Not Started</t>
        </is>
      </c>
      <c r="O4" s="18" t="n"/>
      <c r="P4" s="18" t="n"/>
      <c r="Q4" s="18" t="inlineStr"/>
    </row>
    <row r="5">
      <c r="A5" s="18" t="inlineStr">
        <is>
          <t>INB-004</t>
        </is>
      </c>
      <c r="B5" s="18" t="inlineStr">
        <is>
          <t>Requirement</t>
        </is>
      </c>
      <c r="C5" s="18" t="inlineStr">
        <is>
          <t>Inbound</t>
        </is>
      </c>
      <c r="D5" s="18" t="inlineStr">
        <is>
          <t>1.3 System Rules</t>
        </is>
      </c>
      <c r="E5" s="18" t="inlineStr">
        <is>
          <t>docs/scope/02-functional-inbound-storage.md</t>
        </is>
      </c>
      <c r="F5" s="18" t="inlineStr">
        <is>
          <t>Expiry validation: reject or hold when remaining shelf life &lt; the item's *minimum remaining shelf life on receipt* (SAP MHDRZ; Oracle shelf-life days).</t>
        </is>
      </c>
      <c r="G5" s="18" t="inlineStr">
        <is>
          <t>Rule/requirement enforced as stated (positive + negative case)</t>
        </is>
      </c>
      <c r="H5" s="18" t="inlineStr">
        <is>
          <t>M</t>
        </is>
      </c>
      <c r="I5" s="18" t="n"/>
      <c r="J5" s="18" t="n"/>
      <c r="K5" s="18" t="inlineStr">
        <is>
          <t>TC-INB-004-01</t>
        </is>
      </c>
      <c r="L5" s="18" t="inlineStr">
        <is>
          <t>Functional (rule test harness + E2E scenario)</t>
        </is>
      </c>
      <c r="M5" s="18" t="inlineStr">
        <is>
          <t>SIT; UAT</t>
        </is>
      </c>
      <c r="N5" s="18" t="inlineStr">
        <is>
          <t>Not Started</t>
        </is>
      </c>
      <c r="O5" s="18" t="n"/>
      <c r="P5" s="18" t="n"/>
      <c r="Q5" s="18" t="inlineStr"/>
    </row>
    <row r="6">
      <c r="A6" s="18" t="inlineStr">
        <is>
          <t>INB-005</t>
        </is>
      </c>
      <c r="B6" s="18" t="inlineStr">
        <is>
          <t>Requirement</t>
        </is>
      </c>
      <c r="C6" s="18" t="inlineStr">
        <is>
          <t>Inbound</t>
        </is>
      </c>
      <c r="D6" s="18" t="inlineStr">
        <is>
          <t>1.3 System Rules</t>
        </is>
      </c>
      <c r="E6" s="18" t="inlineStr">
        <is>
          <t>docs/scope/02-functional-inbound-storage.md</t>
        </is>
      </c>
      <c r="F6" s="18" t="inlineStr">
        <is>
          <t>Lot uniqueness: the same lot number for the same item from different vendors is allowed; the system key is (item, lot, vendor-lot).</t>
        </is>
      </c>
      <c r="G6" s="18" t="inlineStr">
        <is>
          <t>Rule/requirement enforced as stated (positive + negative case)</t>
        </is>
      </c>
      <c r="H6" s="18" t="inlineStr">
        <is>
          <t>M</t>
        </is>
      </c>
      <c r="I6" s="18" t="n"/>
      <c r="J6" s="18" t="n"/>
      <c r="K6" s="18" t="inlineStr">
        <is>
          <t>TC-INB-005-01</t>
        </is>
      </c>
      <c r="L6" s="18" t="inlineStr">
        <is>
          <t>Functional (rule test harness + E2E scenario)</t>
        </is>
      </c>
      <c r="M6" s="18" t="inlineStr">
        <is>
          <t>SIT; UAT</t>
        </is>
      </c>
      <c r="N6" s="18" t="inlineStr">
        <is>
          <t>Not Started</t>
        </is>
      </c>
      <c r="O6" s="18" t="n"/>
      <c r="P6" s="18" t="n"/>
      <c r="Q6" s="18" t="inlineStr"/>
    </row>
    <row r="7">
      <c r="A7" s="18" t="inlineStr">
        <is>
          <t>INB-006</t>
        </is>
      </c>
      <c r="B7" s="18" t="inlineStr">
        <is>
          <t>Requirement</t>
        </is>
      </c>
      <c r="C7" s="18" t="inlineStr">
        <is>
          <t>Inbound</t>
        </is>
      </c>
      <c r="D7" s="18" t="inlineStr">
        <is>
          <t>1.3 System Rules</t>
        </is>
      </c>
      <c r="E7" s="18" t="inlineStr">
        <is>
          <t>docs/scope/02-functional-inbound-storage.md</t>
        </is>
      </c>
      <c r="F7" s="18" t="inlineStr">
        <is>
          <t>Serial capture: for serial-controlled items the count of serials must equal the received quantity in base UoM; duplicate serials within the item are rejected.</t>
        </is>
      </c>
      <c r="G7" s="18" t="inlineStr">
        <is>
          <t>Rule/requirement enforced as stated (positive + negative case)</t>
        </is>
      </c>
      <c r="H7" s="18" t="inlineStr">
        <is>
          <t>M</t>
        </is>
      </c>
      <c r="I7" s="18" t="n"/>
      <c r="J7" s="18" t="n"/>
      <c r="K7" s="18" t="inlineStr">
        <is>
          <t>TC-INB-006-01</t>
        </is>
      </c>
      <c r="L7" s="18" t="inlineStr">
        <is>
          <t>Functional (rule test harness + E2E scenario)</t>
        </is>
      </c>
      <c r="M7" s="18" t="inlineStr">
        <is>
          <t>SIT; UAT</t>
        </is>
      </c>
      <c r="N7" s="18" t="inlineStr">
        <is>
          <t>Not Started</t>
        </is>
      </c>
      <c r="O7" s="18" t="n"/>
      <c r="P7" s="18" t="n"/>
      <c r="Q7" s="18" t="inlineStr"/>
    </row>
    <row r="8">
      <c r="A8" s="18" t="inlineStr">
        <is>
          <t>INB-007</t>
        </is>
      </c>
      <c r="B8" s="18" t="inlineStr">
        <is>
          <t>Requirement</t>
        </is>
      </c>
      <c r="C8" s="18" t="inlineStr">
        <is>
          <t>Inbound</t>
        </is>
      </c>
      <c r="D8" s="18" t="inlineStr">
        <is>
          <t>1.3 System Rules</t>
        </is>
      </c>
      <c r="E8" s="18" t="inlineStr">
        <is>
          <t>docs/scope/02-functional-inbound-storage.md</t>
        </is>
      </c>
      <c r="F8" s="18" t="inlineStr">
        <is>
          <t>Catch weight: for catch-weight items, capture actual weight per case or per pallet within tolerance (±x%) of nominal.</t>
        </is>
      </c>
      <c r="G8" s="18" t="inlineStr">
        <is>
          <t>Rule/requirement enforced as stated (positive + negative case)</t>
        </is>
      </c>
      <c r="H8" s="18" t="inlineStr">
        <is>
          <t>S</t>
        </is>
      </c>
      <c r="I8" s="18" t="n"/>
      <c r="J8" s="18" t="n"/>
      <c r="K8" s="18" t="inlineStr">
        <is>
          <t>TC-INB-007-01</t>
        </is>
      </c>
      <c r="L8" s="18" t="inlineStr">
        <is>
          <t>Functional (rule test harness + E2E scenario)</t>
        </is>
      </c>
      <c r="M8" s="18" t="inlineStr">
        <is>
          <t>SIT; UAT</t>
        </is>
      </c>
      <c r="N8" s="18" t="inlineStr">
        <is>
          <t>Not Started</t>
        </is>
      </c>
      <c r="O8" s="18" t="n"/>
      <c r="P8" s="18" t="n"/>
      <c r="Q8" s="18" t="inlineStr"/>
    </row>
    <row r="9">
      <c r="A9" s="18" t="inlineStr">
        <is>
          <t>INB-008</t>
        </is>
      </c>
      <c r="B9" s="18" t="inlineStr">
        <is>
          <t>Requirement</t>
        </is>
      </c>
      <c r="C9" s="18" t="inlineStr">
        <is>
          <t>Inbound</t>
        </is>
      </c>
      <c r="D9" s="18" t="inlineStr">
        <is>
          <t>1.3 System Rules</t>
        </is>
      </c>
      <c r="E9" s="18" t="inlineStr">
        <is>
          <t>docs/scope/02-functional-inbound-storage.md</t>
        </is>
      </c>
      <c r="F9" s="18" t="inlineStr">
        <is>
          <t>Receipt date and time are stamped in site local time and UTC; the GR posting date follows ERP period rules (no posting into a closed period; next-open-period logic).</t>
        </is>
      </c>
      <c r="G9" s="18" t="inlineStr">
        <is>
          <t>Rule/requirement enforced as stated (positive + negative case)</t>
        </is>
      </c>
      <c r="H9" s="18" t="inlineStr">
        <is>
          <t>M</t>
        </is>
      </c>
      <c r="I9" s="18" t="n"/>
      <c r="J9" s="18" t="n"/>
      <c r="K9" s="18" t="inlineStr">
        <is>
          <t>TC-INB-008-01</t>
        </is>
      </c>
      <c r="L9" s="18" t="inlineStr">
        <is>
          <t>Functional (rule test harness + E2E scenario)</t>
        </is>
      </c>
      <c r="M9" s="18" t="inlineStr">
        <is>
          <t>SIT; UAT</t>
        </is>
      </c>
      <c r="N9" s="18" t="inlineStr">
        <is>
          <t>Not Started</t>
        </is>
      </c>
      <c r="O9" s="18" t="n"/>
      <c r="P9" s="18" t="n"/>
      <c r="Q9" s="18" t="inlineStr"/>
    </row>
    <row r="10">
      <c r="A10" s="18" t="inlineStr">
        <is>
          <t>INB-009</t>
        </is>
      </c>
      <c r="B10" s="18" t="inlineStr">
        <is>
          <t>Requirement</t>
        </is>
      </c>
      <c r="C10" s="18" t="inlineStr">
        <is>
          <t>Inbound</t>
        </is>
      </c>
      <c r="D10" s="18" t="inlineStr">
        <is>
          <t>1.3 System Rules</t>
        </is>
      </c>
      <c r="E10" s="18" t="inlineStr">
        <is>
          <t>docs/scope/02-functional-inbound-storage.md</t>
        </is>
      </c>
      <c r="F10" s="18" t="inlineStr">
        <is>
          <t>Door assignment respects temperature class, HazMat door restrictions, and door equipment (leveller, dock lock).</t>
        </is>
      </c>
      <c r="G10" s="18" t="inlineStr">
        <is>
          <t>Rule/requirement enforced as stated (positive + negative case)</t>
        </is>
      </c>
      <c r="H10" s="18" t="inlineStr">
        <is>
          <t>S</t>
        </is>
      </c>
      <c r="I10" s="18" t="n"/>
      <c r="J10" s="18" t="n"/>
      <c r="K10" s="18" t="inlineStr">
        <is>
          <t>TC-INB-009-01</t>
        </is>
      </c>
      <c r="L10" s="18" t="inlineStr">
        <is>
          <t>Functional (rule test harness + E2E scenario)</t>
        </is>
      </c>
      <c r="M10" s="18" t="inlineStr">
        <is>
          <t>SIT; UAT</t>
        </is>
      </c>
      <c r="N10" s="18" t="inlineStr">
        <is>
          <t>Not Started</t>
        </is>
      </c>
      <c r="O10" s="18" t="n"/>
      <c r="P10" s="18" t="n"/>
      <c r="Q10" s="18" t="inlineStr"/>
    </row>
    <row r="11">
      <c r="A11" s="18" t="inlineStr">
        <is>
          <t>INB-010</t>
        </is>
      </c>
      <c r="B11" s="18" t="inlineStr">
        <is>
          <t>Requirement</t>
        </is>
      </c>
      <c r="C11" s="18" t="inlineStr">
        <is>
          <t>Inbound</t>
        </is>
      </c>
      <c r="D11" s="18" t="inlineStr">
        <is>
          <t>1.3 System Rules</t>
        </is>
      </c>
      <c r="E11" s="18" t="inlineStr">
        <is>
          <t>docs/scope/02-functional-inbound-storage.md</t>
        </is>
      </c>
      <c r="F11" s="18" t="inlineStr">
        <is>
          <t>Appointment no-show: auto-release the slot after N minutes past the slot start; the carrier scorecard is updated.</t>
        </is>
      </c>
      <c r="G11" s="18" t="inlineStr">
        <is>
          <t>Rule/requirement enforced as stated (positive + negative case)</t>
        </is>
      </c>
      <c r="H11" s="18" t="inlineStr">
        <is>
          <t>S</t>
        </is>
      </c>
      <c r="I11" s="18" t="n"/>
      <c r="J11" s="18" t="n"/>
      <c r="K11" s="18" t="inlineStr">
        <is>
          <t>TC-INB-010-01</t>
        </is>
      </c>
      <c r="L11" s="18" t="inlineStr">
        <is>
          <t>Functional (rule test harness + E2E scenario)</t>
        </is>
      </c>
      <c r="M11" s="18" t="inlineStr">
        <is>
          <t>SIT; UAT</t>
        </is>
      </c>
      <c r="N11" s="18" t="inlineStr">
        <is>
          <t>Not Started</t>
        </is>
      </c>
      <c r="O11" s="18" t="n"/>
      <c r="P11" s="18" t="n"/>
      <c r="Q11" s="18" t="inlineStr"/>
    </row>
    <row r="12">
      <c r="A12" s="18" t="inlineStr">
        <is>
          <t>INB-011</t>
        </is>
      </c>
      <c r="B12" s="18" t="inlineStr">
        <is>
          <t>Requirement</t>
        </is>
      </c>
      <c r="C12" s="18" t="inlineStr">
        <is>
          <t>Inbound</t>
        </is>
      </c>
      <c r="D12" s="18" t="inlineStr">
        <is>
          <t>1.3 System Rules</t>
        </is>
      </c>
      <c r="E12" s="18" t="inlineStr">
        <is>
          <t>docs/scope/02-functional-inbound-storage.md</t>
        </is>
      </c>
      <c r="F12" s="18" t="inlineStr">
        <is>
          <t>ASN SSCC receipt must be a *single-scan* confirmation for a homogeneous pallet; mixed pallets require line-level verification, or ASN trust mode per vendor (trusted vendors can skip line-level verification).</t>
        </is>
      </c>
      <c r="G12" s="18" t="inlineStr">
        <is>
          <t>Rule/requirement enforced as stated (positive + negative case)</t>
        </is>
      </c>
      <c r="H12" s="18" t="inlineStr">
        <is>
          <t>S</t>
        </is>
      </c>
      <c r="I12" s="18" t="n"/>
      <c r="J12" s="18" t="n"/>
      <c r="K12" s="18" t="inlineStr">
        <is>
          <t>TC-INB-011-01</t>
        </is>
      </c>
      <c r="L12" s="18" t="inlineStr">
        <is>
          <t>Functional (rule test harness + E2E scenario)</t>
        </is>
      </c>
      <c r="M12" s="18" t="inlineStr">
        <is>
          <t>SIT; UAT</t>
        </is>
      </c>
      <c r="N12" s="18" t="inlineStr">
        <is>
          <t>Not Started</t>
        </is>
      </c>
      <c r="O12" s="18" t="n"/>
      <c r="P12" s="18" t="n"/>
      <c r="Q12" s="18" t="inlineStr"/>
    </row>
    <row r="13">
      <c r="A13" s="18" t="inlineStr">
        <is>
          <t>INB-012</t>
        </is>
      </c>
      <c r="B13" s="18" t="inlineStr">
        <is>
          <t>Requirement</t>
        </is>
      </c>
      <c r="C13" s="18" t="inlineStr">
        <is>
          <t>Inbound</t>
        </is>
      </c>
      <c r="D13" s="18" t="inlineStr">
        <is>
          <t>1.3 System Rules</t>
        </is>
      </c>
      <c r="E13" s="18" t="inlineStr">
        <is>
          <t>docs/scope/02-functional-inbound-storage.md</t>
        </is>
      </c>
      <c r="F13" s="18" t="inlineStr">
        <is>
          <t>Dock-to-stock timer starts at unload scan and ends at putaway confirmation. The timer is visible on the dashboard; an SLA breach raises an alert.</t>
        </is>
      </c>
      <c r="G13" s="18" t="inlineStr">
        <is>
          <t>Rule/requirement enforced as stated (positive + negative case)</t>
        </is>
      </c>
      <c r="H13" s="18" t="inlineStr">
        <is>
          <t>S</t>
        </is>
      </c>
      <c r="I13" s="18" t="n"/>
      <c r="J13" s="18" t="n"/>
      <c r="K13" s="18" t="inlineStr">
        <is>
          <t>TC-INB-012-01</t>
        </is>
      </c>
      <c r="L13" s="18" t="inlineStr">
        <is>
          <t>Functional (rule test harness + E2E scenario)</t>
        </is>
      </c>
      <c r="M13" s="18" t="inlineStr">
        <is>
          <t>SIT; UAT</t>
        </is>
      </c>
      <c r="N13" s="18" t="inlineStr">
        <is>
          <t>Not Started</t>
        </is>
      </c>
      <c r="O13" s="18" t="n"/>
      <c r="P13" s="18" t="n"/>
      <c r="Q13" s="18" t="inlineStr"/>
    </row>
    <row r="14">
      <c r="A14" s="18" t="inlineStr">
        <is>
          <t>INB-EX-01</t>
        </is>
      </c>
      <c r="B14" s="18" t="inlineStr">
        <is>
          <t>Exception</t>
        </is>
      </c>
      <c r="C14" s="18" t="inlineStr">
        <is>
          <t>Inbound</t>
        </is>
      </c>
      <c r="D14" s="18" t="inlineStr">
        <is>
          <t>1.5 Exception Handling</t>
        </is>
      </c>
      <c r="E14" s="18" t="inlineStr">
        <is>
          <t>docs/scope/02-functional-inbound-storage.md</t>
        </is>
      </c>
      <c r="F14" s="18" t="inlineStr">
        <is>
          <t>Seal mismatch or broken</t>
        </is>
      </c>
      <c r="G14" s="18" t="inlineStr">
        <is>
          <t>Detection: Seal scan ≠ ASN seal | Resolution: Hold trailer; photo capture; supervisor decides to accept (record) or reject (trailer refused) | ERP impact: None until receipt; claim flagged</t>
        </is>
      </c>
      <c r="H14" s="18" t="inlineStr">
        <is>
          <t>M</t>
        </is>
      </c>
      <c r="I14" s="18" t="n"/>
      <c r="J14" s="18" t="n"/>
      <c r="K14" s="18" t="inlineStr">
        <is>
          <t>TC-INB-EX-01-01</t>
        </is>
      </c>
      <c r="L14" s="18" t="inlineStr">
        <is>
          <t>Negative / exception scenario</t>
        </is>
      </c>
      <c r="M14" s="18" t="inlineStr">
        <is>
          <t>SIT; UAT</t>
        </is>
      </c>
      <c r="N14" s="18" t="inlineStr">
        <is>
          <t>Not Started</t>
        </is>
      </c>
      <c r="O14" s="18" t="n"/>
      <c r="P14" s="18" t="n"/>
      <c r="Q14" s="18" t="inlineStr">
        <is>
          <t>Priority defaulted to M (exception flow; see Legend)</t>
        </is>
      </c>
    </row>
    <row r="15">
      <c r="A15" s="18" t="inlineStr">
        <is>
          <t>INB-EX-02</t>
        </is>
      </c>
      <c r="B15" s="18" t="inlineStr">
        <is>
          <t>Exception</t>
        </is>
      </c>
      <c r="C15" s="18" t="inlineStr">
        <is>
          <t>Inbound</t>
        </is>
      </c>
      <c r="D15" s="18" t="inlineStr">
        <is>
          <t>1.5 Exception Handling</t>
        </is>
      </c>
      <c r="E15" s="18" t="inlineStr">
        <is>
          <t>docs/scope/02-functional-inbound-storage.md</t>
        </is>
      </c>
      <c r="F15" s="18" t="inlineStr">
        <is>
          <t>Over-receipt beyond tolerance</t>
        </is>
      </c>
      <c r="G15" s="18" t="inlineStr">
        <is>
          <t>Detection: Qty validation | Resolution: Supervisor override (reason) or receive excess into OVERAGE status location pending buyer decision | ERP impact: ERP PO increase or return-to-vendor</t>
        </is>
      </c>
      <c r="H15" s="18" t="inlineStr">
        <is>
          <t>M</t>
        </is>
      </c>
      <c r="I15" s="18" t="n"/>
      <c r="J15" s="18" t="n"/>
      <c r="K15" s="18" t="inlineStr">
        <is>
          <t>TC-INB-EX-02-01</t>
        </is>
      </c>
      <c r="L15" s="18" t="inlineStr">
        <is>
          <t>Negative / exception scenario</t>
        </is>
      </c>
      <c r="M15" s="18" t="inlineStr">
        <is>
          <t>SIT; UAT</t>
        </is>
      </c>
      <c r="N15" s="18" t="inlineStr">
        <is>
          <t>Not Started</t>
        </is>
      </c>
      <c r="O15" s="18" t="n"/>
      <c r="P15" s="18" t="n"/>
      <c r="Q15" s="18" t="inlineStr">
        <is>
          <t>Priority defaulted to M (exception flow; see Legend)</t>
        </is>
      </c>
    </row>
    <row r="16">
      <c r="A16" s="18" t="inlineStr">
        <is>
          <t>INB-EX-03</t>
        </is>
      </c>
      <c r="B16" s="18" t="inlineStr">
        <is>
          <t>Exception</t>
        </is>
      </c>
      <c r="C16" s="18" t="inlineStr">
        <is>
          <t>Inbound</t>
        </is>
      </c>
      <c r="D16" s="18" t="inlineStr">
        <is>
          <t>1.5 Exception Handling</t>
        </is>
      </c>
      <c r="E16" s="18" t="inlineStr">
        <is>
          <t>docs/scope/02-functional-inbound-storage.md</t>
        </is>
      </c>
      <c r="F16" s="18" t="inlineStr">
        <is>
          <t>Short receipt</t>
        </is>
      </c>
      <c r="G16" s="18" t="inlineStr">
        <is>
          <t>Detection: Receipt closed &lt; expected | Resolution: Reason code (vendor short, damaged, in transit); auto-generate vendor discrepancy report (EDI 861 optional) | ERP impact: Delivery quantity adjusted; PO remains open or closed per config</t>
        </is>
      </c>
      <c r="H16" s="18" t="inlineStr">
        <is>
          <t>M</t>
        </is>
      </c>
      <c r="I16" s="18" t="n"/>
      <c r="J16" s="18" t="n"/>
      <c r="K16" s="18" t="inlineStr">
        <is>
          <t>TC-INB-EX-03-01</t>
        </is>
      </c>
      <c r="L16" s="18" t="inlineStr">
        <is>
          <t>Negative / exception scenario</t>
        </is>
      </c>
      <c r="M16" s="18" t="inlineStr">
        <is>
          <t>SIT; UAT</t>
        </is>
      </c>
      <c r="N16" s="18" t="inlineStr">
        <is>
          <t>Not Started</t>
        </is>
      </c>
      <c r="O16" s="18" t="n"/>
      <c r="P16" s="18" t="n"/>
      <c r="Q16" s="18" t="inlineStr">
        <is>
          <t>Priority defaulted to M (exception flow; see Legend)</t>
        </is>
      </c>
    </row>
    <row r="17">
      <c r="A17" s="18" t="inlineStr">
        <is>
          <t>INB-EX-04</t>
        </is>
      </c>
      <c r="B17" s="18" t="inlineStr">
        <is>
          <t>Exception</t>
        </is>
      </c>
      <c r="C17" s="18" t="inlineStr">
        <is>
          <t>Inbound</t>
        </is>
      </c>
      <c r="D17" s="18" t="inlineStr">
        <is>
          <t>1.5 Exception Handling</t>
        </is>
      </c>
      <c r="E17" s="18" t="inlineStr">
        <is>
          <t>docs/scope/02-functional-inbound-storage.md</t>
        </is>
      </c>
      <c r="F17" s="18" t="inlineStr">
        <is>
          <t>Damaged goods</t>
        </is>
      </c>
      <c r="G17" s="18" t="inlineStr">
        <is>
          <t>Detection: User flags damage | Resolution: Received into DAMAGED status; photo evidence; creates claim record; route to damage cage | ERP impact: GR to blocked stock (SAP stock type S; Oracle hold status)</t>
        </is>
      </c>
      <c r="H17" s="18" t="inlineStr">
        <is>
          <t>M</t>
        </is>
      </c>
      <c r="I17" s="18" t="n"/>
      <c r="J17" s="18" t="n"/>
      <c r="K17" s="18" t="inlineStr">
        <is>
          <t>TC-INB-EX-04-01</t>
        </is>
      </c>
      <c r="L17" s="18" t="inlineStr">
        <is>
          <t>Negative / exception scenario</t>
        </is>
      </c>
      <c r="M17" s="18" t="inlineStr">
        <is>
          <t>SIT; UAT</t>
        </is>
      </c>
      <c r="N17" s="18" t="inlineStr">
        <is>
          <t>Not Started</t>
        </is>
      </c>
      <c r="O17" s="18" t="n"/>
      <c r="P17" s="18" t="n"/>
      <c r="Q17" s="18" t="inlineStr">
        <is>
          <t>Priority defaulted to M (exception flow; see Legend)</t>
        </is>
      </c>
    </row>
    <row r="18">
      <c r="A18" s="18" t="inlineStr">
        <is>
          <t>INB-EX-05</t>
        </is>
      </c>
      <c r="B18" s="18" t="inlineStr">
        <is>
          <t>Exception</t>
        </is>
      </c>
      <c r="C18" s="18" t="inlineStr">
        <is>
          <t>Inbound</t>
        </is>
      </c>
      <c r="D18" s="18" t="inlineStr">
        <is>
          <t>1.5 Exception Handling</t>
        </is>
      </c>
      <c r="E18" s="18" t="inlineStr">
        <is>
          <t>docs/scope/02-functional-inbound-storage.md</t>
        </is>
      </c>
      <c r="F18" s="18" t="inlineStr">
        <is>
          <t>Unknown item or GTIN not in master</t>
        </is>
      </c>
      <c r="G18" s="18" t="inlineStr">
        <is>
          <t>Detection: Scan resolution fails | Resolution: Item placed in UNKNOWN holding location; master data request to ERP; auto-retry mapping when the master arrives | ERP impact: None until resolved</t>
        </is>
      </c>
      <c r="H18" s="18" t="inlineStr">
        <is>
          <t>M</t>
        </is>
      </c>
      <c r="I18" s="18" t="n"/>
      <c r="J18" s="18" t="n"/>
      <c r="K18" s="18" t="inlineStr">
        <is>
          <t>TC-INB-EX-05-01</t>
        </is>
      </c>
      <c r="L18" s="18" t="inlineStr">
        <is>
          <t>Negative / exception scenario</t>
        </is>
      </c>
      <c r="M18" s="18" t="inlineStr">
        <is>
          <t>SIT; UAT</t>
        </is>
      </c>
      <c r="N18" s="18" t="inlineStr">
        <is>
          <t>Not Started</t>
        </is>
      </c>
      <c r="O18" s="18" t="n"/>
      <c r="P18" s="18" t="n"/>
      <c r="Q18" s="18" t="inlineStr">
        <is>
          <t>Priority defaulted to M (exception flow; see Legend)</t>
        </is>
      </c>
    </row>
    <row r="19">
      <c r="A19" s="18" t="inlineStr">
        <is>
          <t>INB-EX-06</t>
        </is>
      </c>
      <c r="B19" s="18" t="inlineStr">
        <is>
          <t>Exception</t>
        </is>
      </c>
      <c r="C19" s="18" t="inlineStr">
        <is>
          <t>Inbound</t>
        </is>
      </c>
      <c r="D19" s="18" t="inlineStr">
        <is>
          <t>1.5 Exception Handling</t>
        </is>
      </c>
      <c r="E19" s="18" t="inlineStr">
        <is>
          <t>docs/scope/02-functional-inbound-storage.md</t>
        </is>
      </c>
      <c r="F19" s="18" t="inlineStr">
        <is>
          <t>Expiry below minimum</t>
        </is>
      </c>
      <c r="G19" s="18" t="inlineStr">
        <is>
          <t>Detection: INB-004 | Resolution: Reject (refuse at dock) or receive to QI for QA decision | ERP impact: Blocked or QI stock</t>
        </is>
      </c>
      <c r="H19" s="18" t="inlineStr">
        <is>
          <t>M</t>
        </is>
      </c>
      <c r="I19" s="18" t="n"/>
      <c r="J19" s="18" t="n"/>
      <c r="K19" s="18" t="inlineStr">
        <is>
          <t>TC-INB-EX-06-01</t>
        </is>
      </c>
      <c r="L19" s="18" t="inlineStr">
        <is>
          <t>Negative / exception scenario</t>
        </is>
      </c>
      <c r="M19" s="18" t="inlineStr">
        <is>
          <t>SIT; UAT</t>
        </is>
      </c>
      <c r="N19" s="18" t="inlineStr">
        <is>
          <t>Not Started</t>
        </is>
      </c>
      <c r="O19" s="18" t="n"/>
      <c r="P19" s="18" t="n"/>
      <c r="Q19" s="18" t="inlineStr">
        <is>
          <t>Priority defaulted to M (exception flow; see Legend)</t>
        </is>
      </c>
    </row>
    <row r="20">
      <c r="A20" s="18" t="inlineStr">
        <is>
          <t>INB-EX-07</t>
        </is>
      </c>
      <c r="B20" s="18" t="inlineStr">
        <is>
          <t>Exception</t>
        </is>
      </c>
      <c r="C20" s="18" t="inlineStr">
        <is>
          <t>Inbound</t>
        </is>
      </c>
      <c r="D20" s="18" t="inlineStr">
        <is>
          <t>1.5 Exception Handling</t>
        </is>
      </c>
      <c r="E20" s="18" t="inlineStr">
        <is>
          <t>docs/scope/02-functional-inbound-storage.md</t>
        </is>
      </c>
      <c r="F20" s="18" t="inlineStr">
        <is>
          <t>ASN SSCC not found / duplicate SSCC</t>
        </is>
      </c>
      <c r="G20" s="18" t="inlineStr">
        <is>
          <t>Detection: SSCC lookup | Resolution: Convert to line-level receipt; relabel with WMS LPN | ERP impact: None</t>
        </is>
      </c>
      <c r="H20" s="18" t="inlineStr">
        <is>
          <t>M</t>
        </is>
      </c>
      <c r="I20" s="18" t="n"/>
      <c r="J20" s="18" t="n"/>
      <c r="K20" s="18" t="inlineStr">
        <is>
          <t>TC-INB-EX-07-01</t>
        </is>
      </c>
      <c r="L20" s="18" t="inlineStr">
        <is>
          <t>Negative / exception scenario</t>
        </is>
      </c>
      <c r="M20" s="18" t="inlineStr">
        <is>
          <t>SIT; UAT</t>
        </is>
      </c>
      <c r="N20" s="18" t="inlineStr">
        <is>
          <t>Not Started</t>
        </is>
      </c>
      <c r="O20" s="18" t="n"/>
      <c r="P20" s="18" t="n"/>
      <c r="Q20" s="18" t="inlineStr">
        <is>
          <t>Priority defaulted to M (exception flow; see Legend)</t>
        </is>
      </c>
    </row>
    <row r="21">
      <c r="A21" s="18" t="inlineStr">
        <is>
          <t>INB-EX-08</t>
        </is>
      </c>
      <c r="B21" s="18" t="inlineStr">
        <is>
          <t>Exception</t>
        </is>
      </c>
      <c r="C21" s="18" t="inlineStr">
        <is>
          <t>Inbound</t>
        </is>
      </c>
      <c r="D21" s="18" t="inlineStr">
        <is>
          <t>1.5 Exception Handling</t>
        </is>
      </c>
      <c r="E21" s="18" t="inlineStr">
        <is>
          <t>docs/scope/02-functional-inbound-storage.md</t>
        </is>
      </c>
      <c r="F21" s="18" t="inlineStr">
        <is>
          <t>Lot/serial mismatch with ASN</t>
        </is>
      </c>
      <c r="G21" s="18" t="inlineStr">
        <is>
          <t>Detection: Attribute validation | Resolution: Accept actual lot (ERP batch created by message) or hold, per vendor rule | ERP impact: Batch creation (SAP BATMAS/BAPI_BATCH_CREATE)</t>
        </is>
      </c>
      <c r="H21" s="18" t="inlineStr">
        <is>
          <t>M</t>
        </is>
      </c>
      <c r="I21" s="18" t="n"/>
      <c r="J21" s="18" t="n"/>
      <c r="K21" s="18" t="inlineStr">
        <is>
          <t>TC-INB-EX-08-01</t>
        </is>
      </c>
      <c r="L21" s="18" t="inlineStr">
        <is>
          <t>Negative / exception scenario</t>
        </is>
      </c>
      <c r="M21" s="18" t="inlineStr">
        <is>
          <t>SIT; UAT</t>
        </is>
      </c>
      <c r="N21" s="18" t="inlineStr">
        <is>
          <t>Not Started</t>
        </is>
      </c>
      <c r="O21" s="18" t="n"/>
      <c r="P21" s="18" t="n"/>
      <c r="Q21" s="18" t="inlineStr">
        <is>
          <t>Priority defaulted to M (exception flow; see Legend)</t>
        </is>
      </c>
    </row>
    <row r="22">
      <c r="A22" s="18" t="inlineStr">
        <is>
          <t>INB-EX-09</t>
        </is>
      </c>
      <c r="B22" s="18" t="inlineStr">
        <is>
          <t>Exception</t>
        </is>
      </c>
      <c r="C22" s="18" t="inlineStr">
        <is>
          <t>Inbound</t>
        </is>
      </c>
      <c r="D22" s="18" t="inlineStr">
        <is>
          <t>1.5 Exception Handling</t>
        </is>
      </c>
      <c r="E22" s="18" t="inlineStr">
        <is>
          <t>docs/scope/02-functional-inbound-storage.md</t>
        </is>
      </c>
      <c r="F22" s="18" t="inlineStr">
        <is>
          <t>Receipt with no expectation (blind)</t>
        </is>
      </c>
      <c r="G22" s="18" t="inlineStr">
        <is>
          <t>Detection: No ASN | Resolution: Permission-controlled; creates unplanned receipt; ERP document requested/created by inbound message | ERP impact: ERP creates inbound delivery / unordered receipt</t>
        </is>
      </c>
      <c r="H22" s="18" t="inlineStr">
        <is>
          <t>M</t>
        </is>
      </c>
      <c r="I22" s="18" t="n"/>
      <c r="J22" s="18" t="n"/>
      <c r="K22" s="18" t="inlineStr">
        <is>
          <t>TC-INB-EX-09-01</t>
        </is>
      </c>
      <c r="L22" s="18" t="inlineStr">
        <is>
          <t>Negative / exception scenario</t>
        </is>
      </c>
      <c r="M22" s="18" t="inlineStr">
        <is>
          <t>SIT; UAT</t>
        </is>
      </c>
      <c r="N22" s="18" t="inlineStr">
        <is>
          <t>Not Started</t>
        </is>
      </c>
      <c r="O22" s="18" t="n"/>
      <c r="P22" s="18" t="n"/>
      <c r="Q22" s="18" t="inlineStr">
        <is>
          <t>Priority defaulted to M (exception flow; see Legend)</t>
        </is>
      </c>
    </row>
    <row r="23">
      <c r="A23" s="18" t="inlineStr">
        <is>
          <t>INB-EX-10</t>
        </is>
      </c>
      <c r="B23" s="18" t="inlineStr">
        <is>
          <t>Exception</t>
        </is>
      </c>
      <c r="C23" s="18" t="inlineStr">
        <is>
          <t>Inbound</t>
        </is>
      </c>
      <c r="D23" s="18" t="inlineStr">
        <is>
          <t>1.5 Exception Handling</t>
        </is>
      </c>
      <c r="E23" s="18" t="inlineStr">
        <is>
          <t>docs/scope/02-functional-inbound-storage.md</t>
        </is>
      </c>
      <c r="F23" s="18" t="inlineStr">
        <is>
          <t>Temperature excursion on arrival</t>
        </is>
      </c>
      <c r="G23" s="18" t="inlineStr">
        <is>
          <t>Detection: Reefer reading outside range | Resolution: Hold entire load; QA notification; §14 cold-chain flow | ERP impact: QI stock</t>
        </is>
      </c>
      <c r="H23" s="18" t="inlineStr">
        <is>
          <t>M</t>
        </is>
      </c>
      <c r="I23" s="18" t="n"/>
      <c r="J23" s="18" t="n"/>
      <c r="K23" s="18" t="inlineStr">
        <is>
          <t>TC-INB-EX-10-01</t>
        </is>
      </c>
      <c r="L23" s="18" t="inlineStr">
        <is>
          <t>Negative / exception scenario</t>
        </is>
      </c>
      <c r="M23" s="18" t="inlineStr">
        <is>
          <t>SIT; UAT</t>
        </is>
      </c>
      <c r="N23" s="18" t="inlineStr">
        <is>
          <t>Not Started</t>
        </is>
      </c>
      <c r="O23" s="18" t="n"/>
      <c r="P23" s="18" t="n"/>
      <c r="Q23" s="18" t="inlineStr">
        <is>
          <t>Priority defaulted to M (exception flow; see Legend)</t>
        </is>
      </c>
    </row>
    <row r="24">
      <c r="A24" s="18" t="inlineStr">
        <is>
          <t>INB-EX-11</t>
        </is>
      </c>
      <c r="B24" s="18" t="inlineStr">
        <is>
          <t>Exception</t>
        </is>
      </c>
      <c r="C24" s="18" t="inlineStr">
        <is>
          <t>Inbound</t>
        </is>
      </c>
      <c r="D24" s="18" t="inlineStr">
        <is>
          <t>1.5 Exception Handling</t>
        </is>
      </c>
      <c r="E24" s="18" t="inlineStr">
        <is>
          <t>docs/scope/02-functional-inbound-storage.md</t>
        </is>
      </c>
      <c r="F24" s="18" t="inlineStr">
        <is>
          <t>ERP change after receipt started</t>
        </is>
      </c>
      <c r="G24" s="18" t="inlineStr">
        <is>
          <t>Detection: Delivery update message for an IN_PROGRESS expectation | Resolution: Change queued; supervisor must accept/reject; qty reduction below the received qty is rejected back to ERP | ERP impact: Error reply to ERP</t>
        </is>
      </c>
      <c r="H24" s="18" t="inlineStr">
        <is>
          <t>M</t>
        </is>
      </c>
      <c r="I24" s="18" t="n"/>
      <c r="J24" s="18" t="n"/>
      <c r="K24" s="18" t="inlineStr">
        <is>
          <t>TC-INB-EX-11-01</t>
        </is>
      </c>
      <c r="L24" s="18" t="inlineStr">
        <is>
          <t>Negative / exception scenario</t>
        </is>
      </c>
      <c r="M24" s="18" t="inlineStr">
        <is>
          <t>SIT; UAT</t>
        </is>
      </c>
      <c r="N24" s="18" t="inlineStr">
        <is>
          <t>Not Started</t>
        </is>
      </c>
      <c r="O24" s="18" t="n"/>
      <c r="P24" s="18" t="n"/>
      <c r="Q24" s="18" t="inlineStr">
        <is>
          <t>Priority defaulted to M (exception flow; see Legend)</t>
        </is>
      </c>
    </row>
    <row r="25">
      <c r="A25" s="18" t="inlineStr">
        <is>
          <t>PUT-001</t>
        </is>
      </c>
      <c r="B25" s="18" t="inlineStr">
        <is>
          <t>Requirement</t>
        </is>
      </c>
      <c r="C25" s="18" t="inlineStr">
        <is>
          <t>Putaway &amp; Storage</t>
        </is>
      </c>
      <c r="D25" s="18" t="inlineStr">
        <is>
          <t>2.4 System Rules</t>
        </is>
      </c>
      <c r="E25" s="18" t="inlineStr">
        <is>
          <t>docs/scope/02-functional-inbound-storage.md</t>
        </is>
      </c>
      <c r="F25" s="18" t="inlineStr">
        <is>
          <t>Compatibility filters (temperature, HazMat segregation, bonded, owner segregation) are hard constraints; overrides are impossible for any role.</t>
        </is>
      </c>
      <c r="G25" s="18" t="inlineStr">
        <is>
          <t>Rule/requirement enforced as stated (positive + negative case)</t>
        </is>
      </c>
      <c r="H25" s="18" t="inlineStr">
        <is>
          <t>M</t>
        </is>
      </c>
      <c r="I25" s="18" t="n"/>
      <c r="J25" s="18" t="n"/>
      <c r="K25" s="18" t="inlineStr">
        <is>
          <t>TC-PUT-001-01</t>
        </is>
      </c>
      <c r="L25" s="18" t="inlineStr">
        <is>
          <t>Functional (rule test harness + E2E scenario)</t>
        </is>
      </c>
      <c r="M25" s="18" t="inlineStr">
        <is>
          <t>SIT; UAT</t>
        </is>
      </c>
      <c r="N25" s="18" t="inlineStr">
        <is>
          <t>Not Started</t>
        </is>
      </c>
      <c r="O25" s="18" t="n"/>
      <c r="P25" s="18" t="n"/>
      <c r="Q25" s="18" t="inlineStr"/>
    </row>
    <row r="26">
      <c r="A26" s="18" t="inlineStr">
        <is>
          <t>PUT-002</t>
        </is>
      </c>
      <c r="B26" s="18" t="inlineStr">
        <is>
          <t>Requirement</t>
        </is>
      </c>
      <c r="C26" s="18" t="inlineStr">
        <is>
          <t>Putaway &amp; Storage</t>
        </is>
      </c>
      <c r="D26" s="18" t="inlineStr">
        <is>
          <t>2.4 System Rules</t>
        </is>
      </c>
      <c r="E26" s="18" t="inlineStr">
        <is>
          <t>docs/scope/02-functional-inbound-storage.md</t>
        </is>
      </c>
      <c r="F26" s="18" t="inlineStr">
        <is>
          <t>Scan of location check digit required to confirm. Alternate location override requires permission PUT_OVERRIDE and is validated against PUT-001 plus capacity.</t>
        </is>
      </c>
      <c r="G26" s="18" t="inlineStr">
        <is>
          <t>Rule/requirement enforced as stated (positive + negative case)</t>
        </is>
      </c>
      <c r="H26" s="18" t="inlineStr">
        <is>
          <t>M</t>
        </is>
      </c>
      <c r="I26" s="18" t="n"/>
      <c r="J26" s="18" t="n"/>
      <c r="K26" s="18" t="inlineStr">
        <is>
          <t>TC-PUT-002-01</t>
        </is>
      </c>
      <c r="L26" s="18" t="inlineStr">
        <is>
          <t>Functional (rule test harness + E2E scenario)</t>
        </is>
      </c>
      <c r="M26" s="18" t="inlineStr">
        <is>
          <t>SIT; UAT</t>
        </is>
      </c>
      <c r="N26" s="18" t="inlineStr">
        <is>
          <t>Not Started</t>
        </is>
      </c>
      <c r="O26" s="18" t="n"/>
      <c r="P26" s="18" t="n"/>
      <c r="Q26" s="18" t="inlineStr"/>
    </row>
    <row r="27">
      <c r="A27" s="18" t="inlineStr">
        <is>
          <t>PUT-003</t>
        </is>
      </c>
      <c r="B27" s="18" t="inlineStr">
        <is>
          <t>Requirement</t>
        </is>
      </c>
      <c r="C27" s="18" t="inlineStr">
        <is>
          <t>Putaway &amp; Storage</t>
        </is>
      </c>
      <c r="D27" s="18" t="inlineStr">
        <is>
          <t>2.4 System Rules</t>
        </is>
      </c>
      <c r="E27" s="18" t="inlineStr">
        <is>
          <t>docs/scope/02-functional-inbound-storage.md</t>
        </is>
      </c>
      <c r="F27" s="18" t="inlineStr">
        <is>
          <t>Multi-LPN putaway: an operator may carry up to N LPNs (per equipment type); the system sequences drops by optimal route.</t>
        </is>
      </c>
      <c r="G27" s="18" t="inlineStr">
        <is>
          <t>Rule/requirement enforced as stated (positive + negative case)</t>
        </is>
      </c>
      <c r="H27" s="18" t="inlineStr">
        <is>
          <t>S</t>
        </is>
      </c>
      <c r="I27" s="18" t="n"/>
      <c r="J27" s="18" t="n"/>
      <c r="K27" s="18" t="inlineStr">
        <is>
          <t>TC-PUT-003-01</t>
        </is>
      </c>
      <c r="L27" s="18" t="inlineStr">
        <is>
          <t>Functional (rule test harness + E2E scenario)</t>
        </is>
      </c>
      <c r="M27" s="18" t="inlineStr">
        <is>
          <t>SIT; UAT</t>
        </is>
      </c>
      <c r="N27" s="18" t="inlineStr">
        <is>
          <t>Not Started</t>
        </is>
      </c>
      <c r="O27" s="18" t="n"/>
      <c r="P27" s="18" t="n"/>
      <c r="Q27" s="18" t="inlineStr"/>
    </row>
    <row r="28">
      <c r="A28" s="18" t="inlineStr">
        <is>
          <t>PUT-004</t>
        </is>
      </c>
      <c r="B28" s="18" t="inlineStr">
        <is>
          <t>Requirement</t>
        </is>
      </c>
      <c r="C28" s="18" t="inlineStr">
        <is>
          <t>Putaway &amp; Storage</t>
        </is>
      </c>
      <c r="D28" s="18" t="inlineStr">
        <is>
          <t>2.4 System Rules</t>
        </is>
      </c>
      <c r="E28" s="18" t="inlineStr">
        <is>
          <t>docs/scope/02-functional-inbound-storage.md</t>
        </is>
      </c>
      <c r="F28" s="18" t="inlineStr">
        <is>
          <t>Partial putaway: the operator may split an LPN when the target is full; the remainder gets a new task.</t>
        </is>
      </c>
      <c r="G28" s="18" t="inlineStr">
        <is>
          <t>Rule/requirement enforced as stated (positive + negative case)</t>
        </is>
      </c>
      <c r="H28" s="18" t="inlineStr">
        <is>
          <t>M</t>
        </is>
      </c>
      <c r="I28" s="18" t="n"/>
      <c r="J28" s="18" t="n"/>
      <c r="K28" s="18" t="inlineStr">
        <is>
          <t>TC-PUT-004-01</t>
        </is>
      </c>
      <c r="L28" s="18" t="inlineStr">
        <is>
          <t>Functional (rule test harness + E2E scenario)</t>
        </is>
      </c>
      <c r="M28" s="18" t="inlineStr">
        <is>
          <t>SIT; UAT</t>
        </is>
      </c>
      <c r="N28" s="18" t="inlineStr">
        <is>
          <t>Not Started</t>
        </is>
      </c>
      <c r="O28" s="18" t="n"/>
      <c r="P28" s="18" t="n"/>
      <c r="Q28" s="18" t="inlineStr"/>
    </row>
    <row r="29">
      <c r="A29" s="18" t="inlineStr">
        <is>
          <t>PUT-005</t>
        </is>
      </c>
      <c r="B29" s="18" t="inlineStr">
        <is>
          <t>Requirement</t>
        </is>
      </c>
      <c r="C29" s="18" t="inlineStr">
        <is>
          <t>Putaway &amp; Storage</t>
        </is>
      </c>
      <c r="D29" s="18" t="inlineStr">
        <is>
          <t>2.4 System Rules</t>
        </is>
      </c>
      <c r="E29" s="18" t="inlineStr">
        <is>
          <t>docs/scope/02-functional-inbound-storage.md</t>
        </is>
      </c>
      <c r="F29" s="18" t="inlineStr">
        <is>
          <t>Putaway to QI locations only for QI-status stock; available stock cannot be put into QC zones.</t>
        </is>
      </c>
      <c r="G29" s="18" t="inlineStr">
        <is>
          <t>Rule/requirement enforced as stated (positive + negative case)</t>
        </is>
      </c>
      <c r="H29" s="18" t="inlineStr">
        <is>
          <t>M</t>
        </is>
      </c>
      <c r="I29" s="18" t="n"/>
      <c r="J29" s="18" t="n"/>
      <c r="K29" s="18" t="inlineStr">
        <is>
          <t>TC-PUT-005-01</t>
        </is>
      </c>
      <c r="L29" s="18" t="inlineStr">
        <is>
          <t>Functional (rule test harness + E2E scenario)</t>
        </is>
      </c>
      <c r="M29" s="18" t="inlineStr">
        <is>
          <t>SIT; UAT</t>
        </is>
      </c>
      <c r="N29" s="18" t="inlineStr">
        <is>
          <t>Not Started</t>
        </is>
      </c>
      <c r="O29" s="18" t="n"/>
      <c r="P29" s="18" t="n"/>
      <c r="Q29" s="18" t="inlineStr"/>
    </row>
    <row r="30">
      <c r="A30" s="18" t="inlineStr">
        <is>
          <t>PUT-006</t>
        </is>
      </c>
      <c r="B30" s="18" t="inlineStr">
        <is>
          <t>Requirement</t>
        </is>
      </c>
      <c r="C30" s="18" t="inlineStr">
        <is>
          <t>Putaway &amp; Storage</t>
        </is>
      </c>
      <c r="D30" s="18" t="inlineStr">
        <is>
          <t>2.4 System Rules</t>
        </is>
      </c>
      <c r="E30" s="18" t="inlineStr">
        <is>
          <t>docs/scope/02-functional-inbound-storage.md</t>
        </is>
      </c>
      <c r="F30" s="18" t="inlineStr">
        <is>
          <t>Stock at dock is visible but *not allocable* until it is put away, unless cross-dock/flow-through is enabled.</t>
        </is>
      </c>
      <c r="G30" s="18" t="inlineStr">
        <is>
          <t>Rule/requirement enforced as stated (positive + negative case)</t>
        </is>
      </c>
      <c r="H30" s="18" t="inlineStr">
        <is>
          <t>M</t>
        </is>
      </c>
      <c r="I30" s="18" t="n"/>
      <c r="J30" s="18" t="n"/>
      <c r="K30" s="18" t="inlineStr">
        <is>
          <t>TC-PUT-006-01</t>
        </is>
      </c>
      <c r="L30" s="18" t="inlineStr">
        <is>
          <t>Functional (rule test harness + E2E scenario)</t>
        </is>
      </c>
      <c r="M30" s="18" t="inlineStr">
        <is>
          <t>SIT; UAT</t>
        </is>
      </c>
      <c r="N30" s="18" t="inlineStr">
        <is>
          <t>Not Started</t>
        </is>
      </c>
      <c r="O30" s="18" t="n"/>
      <c r="P30" s="18" t="n"/>
      <c r="Q30" s="18" t="inlineStr"/>
    </row>
    <row r="31">
      <c r="A31" s="18" t="inlineStr">
        <is>
          <t>PUT-007</t>
        </is>
      </c>
      <c r="B31" s="18" t="inlineStr">
        <is>
          <t>Requirement</t>
        </is>
      </c>
      <c r="C31" s="18" t="inlineStr">
        <is>
          <t>Putaway &amp; Storage</t>
        </is>
      </c>
      <c r="D31" s="18" t="inlineStr">
        <is>
          <t>2.4 System Rules</t>
        </is>
      </c>
      <c r="E31" s="18" t="inlineStr">
        <is>
          <t>docs/scope/02-functional-inbound-storage.md</t>
        </is>
      </c>
      <c r="F31" s="18" t="inlineStr">
        <is>
          <t>Putaway tasks are prioritised by: cross-dock urgency &gt; dock congestion (door needed) &gt; dock age &gt; FIFO.</t>
        </is>
      </c>
      <c r="G31" s="18" t="inlineStr">
        <is>
          <t>Rule/requirement enforced as stated (positive + negative case)</t>
        </is>
      </c>
      <c r="H31" s="18" t="inlineStr">
        <is>
          <t>S</t>
        </is>
      </c>
      <c r="I31" s="18" t="n"/>
      <c r="J31" s="18" t="n"/>
      <c r="K31" s="18" t="inlineStr">
        <is>
          <t>TC-PUT-007-01</t>
        </is>
      </c>
      <c r="L31" s="18" t="inlineStr">
        <is>
          <t>Functional (rule test harness + E2E scenario)</t>
        </is>
      </c>
      <c r="M31" s="18" t="inlineStr">
        <is>
          <t>SIT; UAT</t>
        </is>
      </c>
      <c r="N31" s="18" t="inlineStr">
        <is>
          <t>Not Started</t>
        </is>
      </c>
      <c r="O31" s="18" t="n"/>
      <c r="P31" s="18" t="n"/>
      <c r="Q31" s="18" t="inlineStr"/>
    </row>
    <row r="32">
      <c r="A32" s="18" t="inlineStr">
        <is>
          <t>PUT-008</t>
        </is>
      </c>
      <c r="B32" s="18" t="inlineStr">
        <is>
          <t>Requirement</t>
        </is>
      </c>
      <c r="C32" s="18" t="inlineStr">
        <is>
          <t>Putaway &amp; Storage</t>
        </is>
      </c>
      <c r="D32" s="18" t="inlineStr">
        <is>
          <t>2.4 System Rules</t>
        </is>
      </c>
      <c r="E32" s="18" t="inlineStr">
        <is>
          <t>docs/scope/02-functional-inbound-storage.md</t>
        </is>
      </c>
      <c r="F32" s="18" t="inlineStr">
        <is>
          <t>Storage zone moves (internal relocation) use the same engine with source ≠ dock.</t>
        </is>
      </c>
      <c r="G32" s="18" t="inlineStr">
        <is>
          <t>Rule/requirement enforced as stated (positive + negative case)</t>
        </is>
      </c>
      <c r="H32" s="18" t="inlineStr">
        <is>
          <t>M</t>
        </is>
      </c>
      <c r="I32" s="18" t="n"/>
      <c r="J32" s="18" t="n"/>
      <c r="K32" s="18" t="inlineStr">
        <is>
          <t>TC-PUT-008-01</t>
        </is>
      </c>
      <c r="L32" s="18" t="inlineStr">
        <is>
          <t>Functional (rule test harness + E2E scenario)</t>
        </is>
      </c>
      <c r="M32" s="18" t="inlineStr">
        <is>
          <t>SIT; UAT</t>
        </is>
      </c>
      <c r="N32" s="18" t="inlineStr">
        <is>
          <t>Not Started</t>
        </is>
      </c>
      <c r="O32" s="18" t="n"/>
      <c r="P32" s="18" t="n"/>
      <c r="Q32" s="18" t="inlineStr"/>
    </row>
    <row r="33">
      <c r="A33" s="18" t="inlineStr">
        <is>
          <t>PUT-EX-01</t>
        </is>
      </c>
      <c r="B33" s="18" t="inlineStr">
        <is>
          <t>Exception</t>
        </is>
      </c>
      <c r="C33" s="18" t="inlineStr">
        <is>
          <t>Putaway &amp; Storage</t>
        </is>
      </c>
      <c r="D33" s="18" t="inlineStr">
        <is>
          <t>2.7 Exception Handling</t>
        </is>
      </c>
      <c r="E33" s="18" t="inlineStr">
        <is>
          <t>docs/scope/02-functional-inbound-storage.md</t>
        </is>
      </c>
      <c r="F33" s="18" t="inlineStr">
        <is>
          <t>No location available</t>
        </is>
      </c>
      <c r="G33" s="18" t="inlineStr">
        <is>
          <t>Resolution: Route to overflow zone; alert inventory control; capacity report; slotting review flag</t>
        </is>
      </c>
      <c r="H33" s="18" t="inlineStr">
        <is>
          <t>M</t>
        </is>
      </c>
      <c r="I33" s="18" t="n"/>
      <c r="J33" s="18" t="n"/>
      <c r="K33" s="18" t="inlineStr">
        <is>
          <t>TC-PUT-EX-01-01</t>
        </is>
      </c>
      <c r="L33" s="18" t="inlineStr">
        <is>
          <t>Negative / exception scenario</t>
        </is>
      </c>
      <c r="M33" s="18" t="inlineStr">
        <is>
          <t>SIT; UAT</t>
        </is>
      </c>
      <c r="N33" s="18" t="inlineStr">
        <is>
          <t>Not Started</t>
        </is>
      </c>
      <c r="O33" s="18" t="n"/>
      <c r="P33" s="18" t="n"/>
      <c r="Q33" s="18" t="inlineStr">
        <is>
          <t>Priority defaulted to M (exception flow; see Legend)</t>
        </is>
      </c>
    </row>
    <row r="34">
      <c r="A34" s="18" t="inlineStr">
        <is>
          <t>PUT-EX-02</t>
        </is>
      </c>
      <c r="B34" s="18" t="inlineStr">
        <is>
          <t>Exception</t>
        </is>
      </c>
      <c r="C34" s="18" t="inlineStr">
        <is>
          <t>Putaway &amp; Storage</t>
        </is>
      </c>
      <c r="D34" s="18" t="inlineStr">
        <is>
          <t>2.7 Exception Handling</t>
        </is>
      </c>
      <c r="E34" s="18" t="inlineStr">
        <is>
          <t>docs/scope/02-functional-inbound-storage.md</t>
        </is>
      </c>
      <c r="F34" s="18" t="inlineStr">
        <is>
          <t>Target location occupied or damaged on arrival</t>
        </is>
      </c>
      <c r="G34" s="18" t="inlineStr">
        <is>
          <t>Resolution: Operator reports "location blocked", with location auto-blocked and a count task created; engine re-directs</t>
        </is>
      </c>
      <c r="H34" s="18" t="inlineStr">
        <is>
          <t>M</t>
        </is>
      </c>
      <c r="I34" s="18" t="n"/>
      <c r="J34" s="18" t="n"/>
      <c r="K34" s="18" t="inlineStr">
        <is>
          <t>TC-PUT-EX-02-01</t>
        </is>
      </c>
      <c r="L34" s="18" t="inlineStr">
        <is>
          <t>Negative / exception scenario</t>
        </is>
      </c>
      <c r="M34" s="18" t="inlineStr">
        <is>
          <t>SIT; UAT</t>
        </is>
      </c>
      <c r="N34" s="18" t="inlineStr">
        <is>
          <t>Not Started</t>
        </is>
      </c>
      <c r="O34" s="18" t="n"/>
      <c r="P34" s="18" t="n"/>
      <c r="Q34" s="18" t="inlineStr">
        <is>
          <t>Priority defaulted to M (exception flow; see Legend)</t>
        </is>
      </c>
    </row>
    <row r="35">
      <c r="A35" s="18" t="inlineStr">
        <is>
          <t>PUT-EX-03</t>
        </is>
      </c>
      <c r="B35" s="18" t="inlineStr">
        <is>
          <t>Exception</t>
        </is>
      </c>
      <c r="C35" s="18" t="inlineStr">
        <is>
          <t>Putaway &amp; Storage</t>
        </is>
      </c>
      <c r="D35" s="18" t="inlineStr">
        <is>
          <t>2.7 Exception Handling</t>
        </is>
      </c>
      <c r="E35" s="18" t="inlineStr">
        <is>
          <t>docs/scope/02-functional-inbound-storage.md</t>
        </is>
      </c>
      <c r="F35" s="18" t="inlineStr">
        <is>
          <t>LPN over-height / overweight for target</t>
        </is>
      </c>
      <c r="G35" s="18" t="inlineStr">
        <is>
          <t>Resolution: Operator reports; LPN dims updated; re-evaluate</t>
        </is>
      </c>
      <c r="H35" s="18" t="inlineStr">
        <is>
          <t>M</t>
        </is>
      </c>
      <c r="I35" s="18" t="n"/>
      <c r="J35" s="18" t="n"/>
      <c r="K35" s="18" t="inlineStr">
        <is>
          <t>TC-PUT-EX-03-01</t>
        </is>
      </c>
      <c r="L35" s="18" t="inlineStr">
        <is>
          <t>Negative / exception scenario</t>
        </is>
      </c>
      <c r="M35" s="18" t="inlineStr">
        <is>
          <t>SIT; UAT</t>
        </is>
      </c>
      <c r="N35" s="18" t="inlineStr">
        <is>
          <t>Not Started</t>
        </is>
      </c>
      <c r="O35" s="18" t="n"/>
      <c r="P35" s="18" t="n"/>
      <c r="Q35" s="18" t="inlineStr">
        <is>
          <t>Priority defaulted to M (exception flow; see Legend)</t>
        </is>
      </c>
    </row>
    <row r="36">
      <c r="A36" s="18" t="inlineStr">
        <is>
          <t>PUT-EX-04</t>
        </is>
      </c>
      <c r="B36" s="18" t="inlineStr">
        <is>
          <t>Exception</t>
        </is>
      </c>
      <c r="C36" s="18" t="inlineStr">
        <is>
          <t>Putaway &amp; Storage</t>
        </is>
      </c>
      <c r="D36" s="18" t="inlineStr">
        <is>
          <t>2.7 Exception Handling</t>
        </is>
      </c>
      <c r="E36" s="18" t="inlineStr">
        <is>
          <t>docs/scope/02-functional-inbound-storage.md</t>
        </is>
      </c>
      <c r="F36" s="18" t="inlineStr">
        <is>
          <t>LPN not found at dock</t>
        </is>
      </c>
      <c r="G36" s="18" t="inlineStr">
        <is>
          <t>Resolution: Search task; if not found in X min, LPN flagged missing; inventory held; supervisor investigation</t>
        </is>
      </c>
      <c r="H36" s="18" t="inlineStr">
        <is>
          <t>M</t>
        </is>
      </c>
      <c r="I36" s="18" t="n"/>
      <c r="J36" s="18" t="n"/>
      <c r="K36" s="18" t="inlineStr">
        <is>
          <t>TC-PUT-EX-04-01</t>
        </is>
      </c>
      <c r="L36" s="18" t="inlineStr">
        <is>
          <t>Negative / exception scenario</t>
        </is>
      </c>
      <c r="M36" s="18" t="inlineStr">
        <is>
          <t>SIT; UAT</t>
        </is>
      </c>
      <c r="N36" s="18" t="inlineStr">
        <is>
          <t>Not Started</t>
        </is>
      </c>
      <c r="O36" s="18" t="n"/>
      <c r="P36" s="18" t="n"/>
      <c r="Q36" s="18" t="inlineStr">
        <is>
          <t>Priority defaulted to M (exception flow; see Legend)</t>
        </is>
      </c>
    </row>
    <row r="37">
      <c r="A37" s="18" t="inlineStr">
        <is>
          <t>PUT-EX-05</t>
        </is>
      </c>
      <c r="B37" s="18" t="inlineStr">
        <is>
          <t>Exception</t>
        </is>
      </c>
      <c r="C37" s="18" t="inlineStr">
        <is>
          <t>Putaway &amp; Storage</t>
        </is>
      </c>
      <c r="D37" s="18" t="inlineStr">
        <is>
          <t>2.7 Exception Handling</t>
        </is>
      </c>
      <c r="E37" s="18" t="inlineStr">
        <is>
          <t>docs/scope/02-functional-inbound-storage.md</t>
        </is>
      </c>
      <c r="F37" s="18" t="inlineStr">
        <is>
          <t>Wrong LPN scanned</t>
        </is>
      </c>
      <c r="G37" s="18" t="inlineStr">
        <is>
          <t>Resolution: Hard stop; directs to the correct LPN or swaps the task to the scanned LPN if valid</t>
        </is>
      </c>
      <c r="H37" s="18" t="inlineStr">
        <is>
          <t>M</t>
        </is>
      </c>
      <c r="I37" s="18" t="n"/>
      <c r="J37" s="18" t="n"/>
      <c r="K37" s="18" t="inlineStr">
        <is>
          <t>TC-PUT-EX-05-01</t>
        </is>
      </c>
      <c r="L37" s="18" t="inlineStr">
        <is>
          <t>Negative / exception scenario</t>
        </is>
      </c>
      <c r="M37" s="18" t="inlineStr">
        <is>
          <t>SIT; UAT</t>
        </is>
      </c>
      <c r="N37" s="18" t="inlineStr">
        <is>
          <t>Not Started</t>
        </is>
      </c>
      <c r="O37" s="18" t="n"/>
      <c r="P37" s="18" t="n"/>
      <c r="Q37" s="18" t="inlineStr">
        <is>
          <t>Priority defaulted to M (exception flow; see Legend)</t>
        </is>
      </c>
    </row>
    <row r="38">
      <c r="A38" s="18" t="inlineStr">
        <is>
          <t>PUT-EX-06</t>
        </is>
      </c>
      <c r="B38" s="18" t="inlineStr">
        <is>
          <t>Exception</t>
        </is>
      </c>
      <c r="C38" s="18" t="inlineStr">
        <is>
          <t>Putaway &amp; Storage</t>
        </is>
      </c>
      <c r="D38" s="18" t="inlineStr">
        <is>
          <t>2.7 Exception Handling</t>
        </is>
      </c>
      <c r="E38" s="18" t="inlineStr">
        <is>
          <t>docs/scope/02-functional-inbound-storage.md</t>
        </is>
      </c>
      <c r="F38" s="18" t="inlineStr">
        <is>
          <t>Equipment breakdown mid-task</t>
        </is>
      </c>
      <c r="G38" s="18" t="inlineStr">
        <is>
          <t>Resolution: Task suspended with LPN at a drop location (P&amp;D point); re-queued for other equipment</t>
        </is>
      </c>
      <c r="H38" s="18" t="inlineStr">
        <is>
          <t>M</t>
        </is>
      </c>
      <c r="I38" s="18" t="n"/>
      <c r="J38" s="18" t="n"/>
      <c r="K38" s="18" t="inlineStr">
        <is>
          <t>TC-PUT-EX-06-01</t>
        </is>
      </c>
      <c r="L38" s="18" t="inlineStr">
        <is>
          <t>Negative / exception scenario</t>
        </is>
      </c>
      <c r="M38" s="18" t="inlineStr">
        <is>
          <t>SIT; UAT</t>
        </is>
      </c>
      <c r="N38" s="18" t="inlineStr">
        <is>
          <t>Not Started</t>
        </is>
      </c>
      <c r="O38" s="18" t="n"/>
      <c r="P38" s="18" t="n"/>
      <c r="Q38" s="18" t="inlineStr">
        <is>
          <t>Priority defaulted to M (exception flow; see Legend)</t>
        </is>
      </c>
    </row>
    <row r="39">
      <c r="A39" s="18" t="inlineStr">
        <is>
          <t>OUT-001</t>
        </is>
      </c>
      <c r="B39" s="18" t="inlineStr">
        <is>
          <t>Requirement</t>
        </is>
      </c>
      <c r="C39" s="18" t="inlineStr">
        <is>
          <t>Outbound Order Mgmt</t>
        </is>
      </c>
      <c r="D39" s="18" t="inlineStr">
        <is>
          <t>3.5 System Rules</t>
        </is>
      </c>
      <c r="E39" s="18" t="inlineStr">
        <is>
          <t>docs/scope/03-functional-outbound.md</t>
        </is>
      </c>
      <c r="F39" s="18" t="inlineStr">
        <is>
          <t>Orders with ERP delivery block or credit hold are received but not allocable.</t>
        </is>
      </c>
      <c r="G39" s="18" t="inlineStr">
        <is>
          <t>Rule/requirement enforced as stated (positive + negative case)</t>
        </is>
      </c>
      <c r="H39" s="18" t="inlineStr">
        <is>
          <t>M</t>
        </is>
      </c>
      <c r="I39" s="18" t="n"/>
      <c r="J39" s="18" t="n"/>
      <c r="K39" s="18" t="inlineStr">
        <is>
          <t>TC-OUT-001-01</t>
        </is>
      </c>
      <c r="L39" s="18" t="inlineStr">
        <is>
          <t>Functional (rule test harness + E2E scenario)</t>
        </is>
      </c>
      <c r="M39" s="18" t="inlineStr">
        <is>
          <t>SIT; UAT</t>
        </is>
      </c>
      <c r="N39" s="18" t="inlineStr">
        <is>
          <t>Not Started</t>
        </is>
      </c>
      <c r="O39" s="18" t="n"/>
      <c r="P39" s="18" t="n"/>
      <c r="Q39" s="18" t="inlineStr"/>
    </row>
    <row r="40">
      <c r="A40" s="18" t="inlineStr">
        <is>
          <t>OUT-002</t>
        </is>
      </c>
      <c r="B40" s="18" t="inlineStr">
        <is>
          <t>Requirement</t>
        </is>
      </c>
      <c r="C40" s="18" t="inlineStr">
        <is>
          <t>Outbound Order Mgmt</t>
        </is>
      </c>
      <c r="D40" s="18" t="inlineStr">
        <is>
          <t>3.5 System Rules</t>
        </is>
      </c>
      <c r="E40" s="18" t="inlineStr">
        <is>
          <t>docs/scope/03-functional-outbound.md</t>
        </is>
      </c>
      <c r="F40" s="18" t="inlineStr">
        <is>
          <t>ERP delivery changes (qty increase/decrease, line add/delete) accepted while status &lt; RELEASED; after release, change requests generate supervisor workflow.</t>
        </is>
      </c>
      <c r="G40" s="18" t="inlineStr">
        <is>
          <t>Rule/requirement enforced as stated (positive + negative case)</t>
        </is>
      </c>
      <c r="H40" s="18" t="inlineStr">
        <is>
          <t>M</t>
        </is>
      </c>
      <c r="I40" s="18" t="n"/>
      <c r="J40" s="18" t="n"/>
      <c r="K40" s="18" t="inlineStr">
        <is>
          <t>TC-OUT-002-01</t>
        </is>
      </c>
      <c r="L40" s="18" t="inlineStr">
        <is>
          <t>Functional (rule test harness + E2E scenario)</t>
        </is>
      </c>
      <c r="M40" s="18" t="inlineStr">
        <is>
          <t>SIT; UAT</t>
        </is>
      </c>
      <c r="N40" s="18" t="inlineStr">
        <is>
          <t>Not Started</t>
        </is>
      </c>
      <c r="O40" s="18" t="n"/>
      <c r="P40" s="18" t="n"/>
      <c r="Q40" s="18" t="inlineStr"/>
    </row>
    <row r="41">
      <c r="A41" s="18" t="inlineStr">
        <is>
          <t>OUT-003</t>
        </is>
      </c>
      <c r="B41" s="18" t="inlineStr">
        <is>
          <t>Requirement</t>
        </is>
      </c>
      <c r="C41" s="18" t="inlineStr">
        <is>
          <t>Outbound Order Mgmt</t>
        </is>
      </c>
      <c r="D41" s="18" t="inlineStr">
        <is>
          <t>3.5 System Rules</t>
        </is>
      </c>
      <c r="E41" s="18" t="inlineStr">
        <is>
          <t>docs/scope/03-functional-outbound.md</t>
        </is>
      </c>
      <c r="F41" s="18" t="inlineStr">
        <is>
          <t>Cut-off-driven priority: orders not released by release_by_time escalate to priority 1 and raise an alert.</t>
        </is>
      </c>
      <c r="G41" s="18" t="inlineStr">
        <is>
          <t>Rule/requirement enforced as stated (positive + negative case)</t>
        </is>
      </c>
      <c r="H41" s="18" t="inlineStr">
        <is>
          <t>M</t>
        </is>
      </c>
      <c r="I41" s="18" t="n"/>
      <c r="J41" s="18" t="n"/>
      <c r="K41" s="18" t="inlineStr">
        <is>
          <t>TC-OUT-003-01</t>
        </is>
      </c>
      <c r="L41" s="18" t="inlineStr">
        <is>
          <t>Functional (rule test harness + E2E scenario)</t>
        </is>
      </c>
      <c r="M41" s="18" t="inlineStr">
        <is>
          <t>SIT; UAT</t>
        </is>
      </c>
      <c r="N41" s="18" t="inlineStr">
        <is>
          <t>Not Started</t>
        </is>
      </c>
      <c r="O41" s="18" t="n"/>
      <c r="P41" s="18" t="n"/>
      <c r="Q41" s="18" t="inlineStr"/>
    </row>
    <row r="42">
      <c r="A42" s="18" t="inlineStr">
        <is>
          <t>OUT-004</t>
        </is>
      </c>
      <c r="B42" s="18" t="inlineStr">
        <is>
          <t>Requirement</t>
        </is>
      </c>
      <c r="C42" s="18" t="inlineStr">
        <is>
          <t>Outbound Order Mgmt</t>
        </is>
      </c>
      <c r="D42" s="18" t="inlineStr">
        <is>
          <t>3.5 System Rules</t>
        </is>
      </c>
      <c r="E42" s="18" t="inlineStr">
        <is>
          <t>docs/scope/03-functional-outbound.md</t>
        </is>
      </c>
      <c r="F42" s="18" t="inlineStr">
        <is>
          <t>Ship-complete orders are never partially released unless all lines are allocated (configurable exception: release to pick and hold at pack).</t>
        </is>
      </c>
      <c r="G42" s="18" t="inlineStr">
        <is>
          <t>Rule/requirement enforced as stated (positive + negative case)</t>
        </is>
      </c>
      <c r="H42" s="18" t="inlineStr">
        <is>
          <t>S</t>
        </is>
      </c>
      <c r="I42" s="18" t="n"/>
      <c r="J42" s="18" t="n"/>
      <c r="K42" s="18" t="inlineStr">
        <is>
          <t>TC-OUT-004-01</t>
        </is>
      </c>
      <c r="L42" s="18" t="inlineStr">
        <is>
          <t>Functional (rule test harness + E2E scenario)</t>
        </is>
      </c>
      <c r="M42" s="18" t="inlineStr">
        <is>
          <t>SIT; UAT</t>
        </is>
      </c>
      <c r="N42" s="18" t="inlineStr">
        <is>
          <t>Not Started</t>
        </is>
      </c>
      <c r="O42" s="18" t="n"/>
      <c r="P42" s="18" t="n"/>
      <c r="Q42" s="18" t="inlineStr"/>
    </row>
    <row r="43">
      <c r="A43" s="18" t="inlineStr">
        <is>
          <t>OUT-005</t>
        </is>
      </c>
      <c r="B43" s="18" t="inlineStr">
        <is>
          <t>Requirement</t>
        </is>
      </c>
      <c r="C43" s="18" t="inlineStr">
        <is>
          <t>Outbound Order Mgmt</t>
        </is>
      </c>
      <c r="D43" s="18" t="inlineStr">
        <is>
          <t>3.5 System Rules</t>
        </is>
      </c>
      <c r="E43" s="18" t="inlineStr">
        <is>
          <t>docs/scope/03-functional-outbound.md</t>
        </is>
      </c>
      <c r="F43" s="18" t="inlineStr">
        <is>
          <t>Order consolidation: multiple deliveries to the same ship-to, carrier, and ship date may be consolidated into one shipment if the ERP permits (SAP delivery grouping honoured; WMS does not merge ERP deliveries into one ERP document).</t>
        </is>
      </c>
      <c r="G43" s="18" t="inlineStr">
        <is>
          <t>Rule/requirement enforced as stated (positive + negative case)</t>
        </is>
      </c>
      <c r="H43" s="18" t="inlineStr">
        <is>
          <t>S</t>
        </is>
      </c>
      <c r="I43" s="18" t="n"/>
      <c r="J43" s="18" t="n"/>
      <c r="K43" s="18" t="inlineStr">
        <is>
          <t>TC-OUT-005-01</t>
        </is>
      </c>
      <c r="L43" s="18" t="inlineStr">
        <is>
          <t>Functional (rule test harness + E2E scenario)</t>
        </is>
      </c>
      <c r="M43" s="18" t="inlineStr">
        <is>
          <t>SIT; UAT</t>
        </is>
      </c>
      <c r="N43" s="18" t="inlineStr">
        <is>
          <t>Not Started</t>
        </is>
      </c>
      <c r="O43" s="18" t="n"/>
      <c r="P43" s="18" t="n"/>
      <c r="Q43" s="18" t="inlineStr"/>
    </row>
    <row r="44">
      <c r="A44" s="18" t="inlineStr">
        <is>
          <t>OUT-006</t>
        </is>
      </c>
      <c r="B44" s="18" t="inlineStr">
        <is>
          <t>Requirement</t>
        </is>
      </c>
      <c r="C44" s="18" t="inlineStr">
        <is>
          <t>Outbound Order Mgmt</t>
        </is>
      </c>
      <c r="D44" s="18" t="inlineStr">
        <is>
          <t>3.5 System Rules</t>
        </is>
      </c>
      <c r="E44" s="18" t="inlineStr">
        <is>
          <t>docs/scope/03-functional-outbound.md</t>
        </is>
      </c>
      <c r="F44" s="18" t="inlineStr">
        <is>
          <t>Hazmat orders validated for carrier/service eligibility before release.</t>
        </is>
      </c>
      <c r="G44" s="18" t="inlineStr">
        <is>
          <t>Rule/requirement enforced as stated (positive + negative case)</t>
        </is>
      </c>
      <c r="H44" s="18" t="inlineStr">
        <is>
          <t>M</t>
        </is>
      </c>
      <c r="I44" s="18" t="n"/>
      <c r="J44" s="18" t="n"/>
      <c r="K44" s="18" t="inlineStr">
        <is>
          <t>TC-OUT-006-01</t>
        </is>
      </c>
      <c r="L44" s="18" t="inlineStr">
        <is>
          <t>Functional (rule test harness + E2E scenario)</t>
        </is>
      </c>
      <c r="M44" s="18" t="inlineStr">
        <is>
          <t>SIT; UAT</t>
        </is>
      </c>
      <c r="N44" s="18" t="inlineStr">
        <is>
          <t>Not Started</t>
        </is>
      </c>
      <c r="O44" s="18" t="n"/>
      <c r="P44" s="18" t="n"/>
      <c r="Q44" s="18" t="inlineStr"/>
    </row>
    <row r="45">
      <c r="A45" s="18" t="inlineStr">
        <is>
          <t>OUT-EX-01</t>
        </is>
      </c>
      <c r="B45" s="18" t="inlineStr">
        <is>
          <t>Exception</t>
        </is>
      </c>
      <c r="C45" s="18" t="inlineStr">
        <is>
          <t>Outbound Order Mgmt</t>
        </is>
      </c>
      <c r="D45" s="18" t="inlineStr">
        <is>
          <t>3.6 Exception Handling</t>
        </is>
      </c>
      <c r="E45" s="18" t="inlineStr">
        <is>
          <t>docs/scope/03-functional-outbound.md</t>
        </is>
      </c>
      <c r="F45" s="18" t="inlineStr">
        <is>
          <t>Insufficient inventory</t>
        </is>
      </c>
      <c r="G45" s="18" t="inlineStr">
        <is>
          <t>Resolution: Short allocation rule; notify ERP; backorder</t>
        </is>
      </c>
      <c r="H45" s="18" t="inlineStr">
        <is>
          <t>M</t>
        </is>
      </c>
      <c r="I45" s="18" t="n"/>
      <c r="J45" s="18" t="n"/>
      <c r="K45" s="18" t="inlineStr">
        <is>
          <t>TC-OUT-EX-01-01</t>
        </is>
      </c>
      <c r="L45" s="18" t="inlineStr">
        <is>
          <t>Negative / exception scenario</t>
        </is>
      </c>
      <c r="M45" s="18" t="inlineStr">
        <is>
          <t>SIT; UAT</t>
        </is>
      </c>
      <c r="N45" s="18" t="inlineStr">
        <is>
          <t>Not Started</t>
        </is>
      </c>
      <c r="O45" s="18" t="n"/>
      <c r="P45" s="18" t="n"/>
      <c r="Q45" s="18" t="inlineStr">
        <is>
          <t>Priority defaulted to M (exception flow; see Legend)</t>
        </is>
      </c>
    </row>
    <row r="46">
      <c r="A46" s="18" t="inlineStr">
        <is>
          <t>OUT-EX-02</t>
        </is>
      </c>
      <c r="B46" s="18" t="inlineStr">
        <is>
          <t>Exception</t>
        </is>
      </c>
      <c r="C46" s="18" t="inlineStr">
        <is>
          <t>Outbound Order Mgmt</t>
        </is>
      </c>
      <c r="D46" s="18" t="inlineStr">
        <is>
          <t>3.6 Exception Handling</t>
        </is>
      </c>
      <c r="E46" s="18" t="inlineStr">
        <is>
          <t>docs/scope/03-functional-outbound.md</t>
        </is>
      </c>
      <c r="F46" s="18" t="inlineStr">
        <is>
          <t>Cancel after release</t>
        </is>
      </c>
      <c r="G46" s="18" t="inlineStr">
        <is>
          <t>Resolution: Tasks cancelled if not started; if picked, generate *reverse pick* (return-to-stock) tasks; confirm cancellation to ERP only after stock is back in an allocable status</t>
        </is>
      </c>
      <c r="H46" s="18" t="inlineStr">
        <is>
          <t>M</t>
        </is>
      </c>
      <c r="I46" s="18" t="n"/>
      <c r="J46" s="18" t="n"/>
      <c r="K46" s="18" t="inlineStr">
        <is>
          <t>TC-OUT-EX-02-01</t>
        </is>
      </c>
      <c r="L46" s="18" t="inlineStr">
        <is>
          <t>Negative / exception scenario</t>
        </is>
      </c>
      <c r="M46" s="18" t="inlineStr">
        <is>
          <t>SIT; UAT</t>
        </is>
      </c>
      <c r="N46" s="18" t="inlineStr">
        <is>
          <t>Not Started</t>
        </is>
      </c>
      <c r="O46" s="18" t="n"/>
      <c r="P46" s="18" t="n"/>
      <c r="Q46" s="18" t="inlineStr">
        <is>
          <t>Priority defaulted to M (exception flow; see Legend)</t>
        </is>
      </c>
    </row>
    <row r="47">
      <c r="A47" s="18" t="inlineStr">
        <is>
          <t>OUT-EX-03</t>
        </is>
      </c>
      <c r="B47" s="18" t="inlineStr">
        <is>
          <t>Exception</t>
        </is>
      </c>
      <c r="C47" s="18" t="inlineStr">
        <is>
          <t>Outbound Order Mgmt</t>
        </is>
      </c>
      <c r="D47" s="18" t="inlineStr">
        <is>
          <t>3.6 Exception Handling</t>
        </is>
      </c>
      <c r="E47" s="18" t="inlineStr">
        <is>
          <t>docs/scope/03-functional-outbound.md</t>
        </is>
      </c>
      <c r="F47" s="18" t="inlineStr">
        <is>
          <t>Invalid ship-to / carrier</t>
        </is>
      </c>
      <c r="G47" s="18" t="inlineStr">
        <is>
          <t>Resolution: Order to ON_HOLD – DATA; integration alert</t>
        </is>
      </c>
      <c r="H47" s="18" t="inlineStr">
        <is>
          <t>M</t>
        </is>
      </c>
      <c r="I47" s="18" t="n"/>
      <c r="J47" s="18" t="n"/>
      <c r="K47" s="18" t="inlineStr">
        <is>
          <t>TC-OUT-EX-03-01</t>
        </is>
      </c>
      <c r="L47" s="18" t="inlineStr">
        <is>
          <t>Negative / exception scenario</t>
        </is>
      </c>
      <c r="M47" s="18" t="inlineStr">
        <is>
          <t>SIT; UAT</t>
        </is>
      </c>
      <c r="N47" s="18" t="inlineStr">
        <is>
          <t>Not Started</t>
        </is>
      </c>
      <c r="O47" s="18" t="n"/>
      <c r="P47" s="18" t="n"/>
      <c r="Q47" s="18" t="inlineStr">
        <is>
          <t>Priority defaulted to M (exception flow; see Legend)</t>
        </is>
      </c>
    </row>
    <row r="48">
      <c r="A48" s="18" t="inlineStr">
        <is>
          <t>OUT-EX-04</t>
        </is>
      </c>
      <c r="B48" s="18" t="inlineStr">
        <is>
          <t>Exception</t>
        </is>
      </c>
      <c r="C48" s="18" t="inlineStr">
        <is>
          <t>Outbound Order Mgmt</t>
        </is>
      </c>
      <c r="D48" s="18" t="inlineStr">
        <is>
          <t>3.6 Exception Handling</t>
        </is>
      </c>
      <c r="E48" s="18" t="inlineStr">
        <is>
          <t>docs/scope/03-functional-outbound.md</t>
        </is>
      </c>
      <c r="F48" s="18" t="inlineStr">
        <is>
          <t>Missed cut-off</t>
        </is>
      </c>
      <c r="G48" s="18" t="inlineStr">
        <is>
          <t>Resolution: Auto re-plan to next carrier pickup; customer service notified; optional service upgrade rule</t>
        </is>
      </c>
      <c r="H48" s="18" t="inlineStr">
        <is>
          <t>M</t>
        </is>
      </c>
      <c r="I48" s="18" t="n"/>
      <c r="J48" s="18" t="n"/>
      <c r="K48" s="18" t="inlineStr">
        <is>
          <t>TC-OUT-EX-04-01</t>
        </is>
      </c>
      <c r="L48" s="18" t="inlineStr">
        <is>
          <t>Negative / exception scenario</t>
        </is>
      </c>
      <c r="M48" s="18" t="inlineStr">
        <is>
          <t>SIT; UAT</t>
        </is>
      </c>
      <c r="N48" s="18" t="inlineStr">
        <is>
          <t>Not Started</t>
        </is>
      </c>
      <c r="O48" s="18" t="n"/>
      <c r="P48" s="18" t="n"/>
      <c r="Q48" s="18" t="inlineStr">
        <is>
          <t>Priority defaulted to M (exception flow; see Legend)</t>
        </is>
      </c>
    </row>
    <row r="49">
      <c r="A49" s="18" t="inlineStr">
        <is>
          <t>OUT-EX-05</t>
        </is>
      </c>
      <c r="B49" s="18" t="inlineStr">
        <is>
          <t>Exception</t>
        </is>
      </c>
      <c r="C49" s="18" t="inlineStr">
        <is>
          <t>Outbound Order Mgmt</t>
        </is>
      </c>
      <c r="D49" s="18" t="inlineStr">
        <is>
          <t>3.6 Exception Handling</t>
        </is>
      </c>
      <c r="E49" s="18" t="inlineStr">
        <is>
          <t>docs/scope/03-functional-outbound.md</t>
        </is>
      </c>
      <c r="F49" s="18" t="inlineStr">
        <is>
          <t>Allocated stock becomes unavailable (count variance, damage, QA hold)</t>
        </is>
      </c>
      <c r="G49" s="18" t="inlineStr">
        <is>
          <t>Resolution: Automatic re-allocation; if fails → short handling</t>
        </is>
      </c>
      <c r="H49" s="18" t="inlineStr">
        <is>
          <t>M</t>
        </is>
      </c>
      <c r="I49" s="18" t="n"/>
      <c r="J49" s="18" t="n"/>
      <c r="K49" s="18" t="inlineStr">
        <is>
          <t>TC-OUT-EX-05-01</t>
        </is>
      </c>
      <c r="L49" s="18" t="inlineStr">
        <is>
          <t>Negative / exception scenario</t>
        </is>
      </c>
      <c r="M49" s="18" t="inlineStr">
        <is>
          <t>SIT; UAT</t>
        </is>
      </c>
      <c r="N49" s="18" t="inlineStr">
        <is>
          <t>Not Started</t>
        </is>
      </c>
      <c r="O49" s="18" t="n"/>
      <c r="P49" s="18" t="n"/>
      <c r="Q49" s="18" t="inlineStr">
        <is>
          <t>Priority defaulted to M (exception flow; see Legend)</t>
        </is>
      </c>
    </row>
    <row r="50">
      <c r="A50" s="18" t="inlineStr">
        <is>
          <t>PCK-001</t>
        </is>
      </c>
      <c r="B50" s="18" t="inlineStr">
        <is>
          <t>Requirement</t>
        </is>
      </c>
      <c r="C50" s="18" t="inlineStr">
        <is>
          <t>Picking</t>
        </is>
      </c>
      <c r="D50" s="18" t="inlineStr">
        <is>
          <t>4.4 System Rules</t>
        </is>
      </c>
      <c r="E50" s="18" t="inlineStr">
        <is>
          <t>docs/scope/03-functional-outbound.md</t>
        </is>
      </c>
      <c r="F50" s="18" t="inlineStr">
        <is>
          <t>Every pick requires a location scan (check digit accepted); item scan required unless the location is single-SKU and the item is flagged trust_location (configurable, off for regulated goods).</t>
        </is>
      </c>
      <c r="G50" s="18" t="inlineStr">
        <is>
          <t>Rule/requirement enforced as stated (positive + negative case)</t>
        </is>
      </c>
      <c r="H50" s="18" t="inlineStr">
        <is>
          <t>M</t>
        </is>
      </c>
      <c r="I50" s="18" t="n"/>
      <c r="J50" s="18" t="n"/>
      <c r="K50" s="18" t="inlineStr">
        <is>
          <t>TC-PCK-001-01</t>
        </is>
      </c>
      <c r="L50" s="18" t="inlineStr">
        <is>
          <t>Functional (rule test harness + E2E scenario)</t>
        </is>
      </c>
      <c r="M50" s="18" t="inlineStr">
        <is>
          <t>SIT; UAT</t>
        </is>
      </c>
      <c r="N50" s="18" t="inlineStr">
        <is>
          <t>Not Started</t>
        </is>
      </c>
      <c r="O50" s="18" t="n"/>
      <c r="P50" s="18" t="n"/>
      <c r="Q50" s="18" t="inlineStr"/>
    </row>
    <row r="51">
      <c r="A51" s="18" t="inlineStr">
        <is>
          <t>PCK-002</t>
        </is>
      </c>
      <c r="B51" s="18" t="inlineStr">
        <is>
          <t>Requirement</t>
        </is>
      </c>
      <c r="C51" s="18" t="inlineStr">
        <is>
          <t>Picking</t>
        </is>
      </c>
      <c r="D51" s="18" t="inlineStr">
        <is>
          <t>4.4 System Rules</t>
        </is>
      </c>
      <c r="E51" s="18" t="inlineStr">
        <is>
          <t>docs/scope/03-functional-outbound.md</t>
        </is>
      </c>
      <c r="F51" s="18" t="inlineStr">
        <is>
          <t>Lot/serial scan at pick for items with outbound serial capture; system validates the scanned lot against allocation. A different valid lot is allowed via *lot substitution* if the allocation rule permits it; this triggers re-allocation.</t>
        </is>
      </c>
      <c r="G51" s="18" t="inlineStr">
        <is>
          <t>Rule/requirement enforced as stated (positive + negative case)</t>
        </is>
      </c>
      <c r="H51" s="18" t="inlineStr">
        <is>
          <t>M</t>
        </is>
      </c>
      <c r="I51" s="18" t="n"/>
      <c r="J51" s="18" t="n"/>
      <c r="K51" s="18" t="inlineStr">
        <is>
          <t>TC-PCK-002-01</t>
        </is>
      </c>
      <c r="L51" s="18" t="inlineStr">
        <is>
          <t>Functional (rule test harness + E2E scenario)</t>
        </is>
      </c>
      <c r="M51" s="18" t="inlineStr">
        <is>
          <t>SIT; UAT</t>
        </is>
      </c>
      <c r="N51" s="18" t="inlineStr">
        <is>
          <t>Not Started</t>
        </is>
      </c>
      <c r="O51" s="18" t="n"/>
      <c r="P51" s="18" t="n"/>
      <c r="Q51" s="18" t="inlineStr"/>
    </row>
    <row r="52">
      <c r="A52" s="18" t="inlineStr">
        <is>
          <t>PCK-003</t>
        </is>
      </c>
      <c r="B52" s="18" t="inlineStr">
        <is>
          <t>Requirement</t>
        </is>
      </c>
      <c r="C52" s="18" t="inlineStr">
        <is>
          <t>Picking</t>
        </is>
      </c>
      <c r="D52" s="18" t="inlineStr">
        <is>
          <t>4.4 System Rules</t>
        </is>
      </c>
      <c r="E52" s="18" t="inlineStr">
        <is>
          <t>docs/scope/03-functional-outbound.md</t>
        </is>
      </c>
      <c r="F52" s="18" t="inlineStr">
        <is>
          <t>Short pick triggers: (a) record short with reason, (b) automatic cycle count on location, (c) re-allocation attempt from other locations, (d) if unsuccessful → short-ship handling.</t>
        </is>
      </c>
      <c r="G52" s="18" t="inlineStr">
        <is>
          <t>Rule/requirement enforced as stated (positive + negative case)</t>
        </is>
      </c>
      <c r="H52" s="18" t="inlineStr">
        <is>
          <t>M</t>
        </is>
      </c>
      <c r="I52" s="18" t="n"/>
      <c r="J52" s="18" t="n"/>
      <c r="K52" s="18" t="inlineStr">
        <is>
          <t>TC-PCK-003-01</t>
        </is>
      </c>
      <c r="L52" s="18" t="inlineStr">
        <is>
          <t>Functional (rule test harness + E2E scenario)</t>
        </is>
      </c>
      <c r="M52" s="18" t="inlineStr">
        <is>
          <t>SIT; UAT</t>
        </is>
      </c>
      <c r="N52" s="18" t="inlineStr">
        <is>
          <t>Not Started</t>
        </is>
      </c>
      <c r="O52" s="18" t="n"/>
      <c r="P52" s="18" t="n"/>
      <c r="Q52" s="18" t="inlineStr"/>
    </row>
    <row r="53">
      <c r="A53" s="18" t="inlineStr">
        <is>
          <t>PCK-004</t>
        </is>
      </c>
      <c r="B53" s="18" t="inlineStr">
        <is>
          <t>Requirement</t>
        </is>
      </c>
      <c r="C53" s="18" t="inlineStr">
        <is>
          <t>Picking</t>
        </is>
      </c>
      <c r="D53" s="18" t="inlineStr">
        <is>
          <t>4.4 System Rules</t>
        </is>
      </c>
      <c r="E53" s="18" t="inlineStr">
        <is>
          <t>docs/scope/03-functional-outbound.md</t>
        </is>
      </c>
      <c r="F53" s="18" t="inlineStr">
        <is>
          <t>Pick UoM enforcement: the picker is prompted in the pick UoM (case/each), with conversion displayed; confirming in the wrong UoM is prevented.</t>
        </is>
      </c>
      <c r="G53" s="18" t="inlineStr">
        <is>
          <t>Rule/requirement enforced as stated (positive + negative case)</t>
        </is>
      </c>
      <c r="H53" s="18" t="inlineStr">
        <is>
          <t>M</t>
        </is>
      </c>
      <c r="I53" s="18" t="n"/>
      <c r="J53" s="18" t="n"/>
      <c r="K53" s="18" t="inlineStr">
        <is>
          <t>TC-PCK-004-01</t>
        </is>
      </c>
      <c r="L53" s="18" t="inlineStr">
        <is>
          <t>Functional (rule test harness + E2E scenario)</t>
        </is>
      </c>
      <c r="M53" s="18" t="inlineStr">
        <is>
          <t>SIT; UAT</t>
        </is>
      </c>
      <c r="N53" s="18" t="inlineStr">
        <is>
          <t>Not Started</t>
        </is>
      </c>
      <c r="O53" s="18" t="n"/>
      <c r="P53" s="18" t="n"/>
      <c r="Q53" s="18" t="inlineStr"/>
    </row>
    <row r="54">
      <c r="A54" s="18" t="inlineStr">
        <is>
          <t>PCK-005</t>
        </is>
      </c>
      <c r="B54" s="18" t="inlineStr">
        <is>
          <t>Requirement</t>
        </is>
      </c>
      <c r="C54" s="18" t="inlineStr">
        <is>
          <t>Picking</t>
        </is>
      </c>
      <c r="D54" s="18" t="inlineStr">
        <is>
          <t>4.4 System Rules</t>
        </is>
      </c>
      <c r="E54" s="18" t="inlineStr">
        <is>
          <t>docs/scope/03-functional-outbound.md</t>
        </is>
      </c>
      <c r="F54" s="18" t="inlineStr">
        <is>
          <t>Pick container validation: tote/carton IDs must be unused and of the correct type; LPN is created on first pick.</t>
        </is>
      </c>
      <c r="G54" s="18" t="inlineStr">
        <is>
          <t>Rule/requirement enforced as stated (positive + negative case)</t>
        </is>
      </c>
      <c r="H54" s="18" t="inlineStr">
        <is>
          <t>M</t>
        </is>
      </c>
      <c r="I54" s="18" t="n"/>
      <c r="J54" s="18" t="n"/>
      <c r="K54" s="18" t="inlineStr">
        <is>
          <t>TC-PCK-005-01</t>
        </is>
      </c>
      <c r="L54" s="18" t="inlineStr">
        <is>
          <t>Functional (rule test harness + E2E scenario)</t>
        </is>
      </c>
      <c r="M54" s="18" t="inlineStr">
        <is>
          <t>SIT; UAT</t>
        </is>
      </c>
      <c r="N54" s="18" t="inlineStr">
        <is>
          <t>Not Started</t>
        </is>
      </c>
      <c r="O54" s="18" t="n"/>
      <c r="P54" s="18" t="n"/>
      <c r="Q54" s="18" t="inlineStr"/>
    </row>
    <row r="55">
      <c r="A55" s="18" t="inlineStr">
        <is>
          <t>PCK-006</t>
        </is>
      </c>
      <c r="B55" s="18" t="inlineStr">
        <is>
          <t>Requirement</t>
        </is>
      </c>
      <c r="C55" s="18" t="inlineStr">
        <is>
          <t>Picking</t>
        </is>
      </c>
      <c r="D55" s="18" t="inlineStr">
        <is>
          <t>4.4 System Rules</t>
        </is>
      </c>
      <c r="E55" s="18" t="inlineStr">
        <is>
          <t>docs/scope/03-functional-outbound.md</t>
        </is>
      </c>
      <c r="F55" s="18" t="inlineStr">
        <is>
          <t>Task interleaving eligible (§C.3).</t>
        </is>
      </c>
      <c r="G55" s="18" t="inlineStr">
        <is>
          <t>Rule/requirement enforced as stated (positive + negative case)</t>
        </is>
      </c>
      <c r="H55" s="18" t="inlineStr">
        <is>
          <t>S</t>
        </is>
      </c>
      <c r="I55" s="18" t="n"/>
      <c r="J55" s="18" t="n"/>
      <c r="K55" s="18" t="inlineStr">
        <is>
          <t>TC-PCK-006-01</t>
        </is>
      </c>
      <c r="L55" s="18" t="inlineStr">
        <is>
          <t>Functional (rule test harness + E2E scenario)</t>
        </is>
      </c>
      <c r="M55" s="18" t="inlineStr">
        <is>
          <t>SIT; UAT</t>
        </is>
      </c>
      <c r="N55" s="18" t="inlineStr">
        <is>
          <t>Not Started</t>
        </is>
      </c>
      <c r="O55" s="18" t="n"/>
      <c r="P55" s="18" t="n"/>
      <c r="Q55" s="18" t="inlineStr"/>
    </row>
    <row r="56">
      <c r="A56" s="18" t="inlineStr">
        <is>
          <t>PCK-007</t>
        </is>
      </c>
      <c r="B56" s="18" t="inlineStr">
        <is>
          <t>Requirement</t>
        </is>
      </c>
      <c r="C56" s="18" t="inlineStr">
        <is>
          <t>Picking</t>
        </is>
      </c>
      <c r="D56" s="18" t="inlineStr">
        <is>
          <t>4.4 System Rules</t>
        </is>
      </c>
      <c r="E56" s="18" t="inlineStr">
        <is>
          <t>docs/scope/03-functional-outbound.md</t>
        </is>
      </c>
      <c r="F56" s="18" t="inlineStr">
        <is>
          <t>Catch-weight capture at pick for variable-weight items.</t>
        </is>
      </c>
      <c r="G56" s="18" t="inlineStr">
        <is>
          <t>Rule/requirement enforced as stated (positive + negative case)</t>
        </is>
      </c>
      <c r="H56" s="18" t="inlineStr">
        <is>
          <t>S</t>
        </is>
      </c>
      <c r="I56" s="18" t="n"/>
      <c r="J56" s="18" t="n"/>
      <c r="K56" s="18" t="inlineStr">
        <is>
          <t>TC-PCK-007-01</t>
        </is>
      </c>
      <c r="L56" s="18" t="inlineStr">
        <is>
          <t>Functional (rule test harness + E2E scenario)</t>
        </is>
      </c>
      <c r="M56" s="18" t="inlineStr">
        <is>
          <t>SIT; UAT</t>
        </is>
      </c>
      <c r="N56" s="18" t="inlineStr">
        <is>
          <t>Not Started</t>
        </is>
      </c>
      <c r="O56" s="18" t="n"/>
      <c r="P56" s="18" t="n"/>
      <c r="Q56" s="18" t="inlineStr"/>
    </row>
    <row r="57">
      <c r="A57" s="18" t="inlineStr">
        <is>
          <t>PCK-008</t>
        </is>
      </c>
      <c r="B57" s="18" t="inlineStr">
        <is>
          <t>Requirement</t>
        </is>
      </c>
      <c r="C57" s="18" t="inlineStr">
        <is>
          <t>Picking</t>
        </is>
      </c>
      <c r="D57" s="18" t="inlineStr">
        <is>
          <t>4.4 System Rules</t>
        </is>
      </c>
      <c r="E57" s="18" t="inlineStr">
        <is>
          <t>docs/scope/03-functional-outbound.md</t>
        </is>
      </c>
      <c r="F57" s="18" t="inlineStr">
        <is>
          <t>Pick-by-line vs. pick-by-order confirmation configurable; partial confirmation allowed.</t>
        </is>
      </c>
      <c r="G57" s="18" t="inlineStr">
        <is>
          <t>Rule/requirement enforced as stated (positive + negative case)</t>
        </is>
      </c>
      <c r="H57" s="18" t="inlineStr">
        <is>
          <t>M</t>
        </is>
      </c>
      <c r="I57" s="18" t="n"/>
      <c r="J57" s="18" t="n"/>
      <c r="K57" s="18" t="inlineStr">
        <is>
          <t>TC-PCK-008-01</t>
        </is>
      </c>
      <c r="L57" s="18" t="inlineStr">
        <is>
          <t>Functional (rule test harness + E2E scenario)</t>
        </is>
      </c>
      <c r="M57" s="18" t="inlineStr">
        <is>
          <t>SIT; UAT</t>
        </is>
      </c>
      <c r="N57" s="18" t="inlineStr">
        <is>
          <t>Not Started</t>
        </is>
      </c>
      <c r="O57" s="18" t="n"/>
      <c r="P57" s="18" t="n"/>
      <c r="Q57" s="18" t="inlineStr"/>
    </row>
    <row r="58">
      <c r="A58" s="18" t="inlineStr">
        <is>
          <t>PCK-009</t>
        </is>
      </c>
      <c r="B58" s="18" t="inlineStr">
        <is>
          <t>Requirement</t>
        </is>
      </c>
      <c r="C58" s="18" t="inlineStr">
        <is>
          <t>Picking</t>
        </is>
      </c>
      <c r="D58" s="18" t="inlineStr">
        <is>
          <t>4.4 System Rules</t>
        </is>
      </c>
      <c r="E58" s="18" t="inlineStr">
        <is>
          <t>docs/scope/03-functional-outbound.md</t>
        </is>
      </c>
      <c r="F58" s="18" t="inlineStr">
        <is>
          <t>Picking from locations blocked for counting is prohibited; allocation automatically avoids them.</t>
        </is>
      </c>
      <c r="G58" s="18" t="inlineStr">
        <is>
          <t>Rule/requirement enforced as stated (positive + negative case)</t>
        </is>
      </c>
      <c r="H58" s="18" t="inlineStr">
        <is>
          <t>M</t>
        </is>
      </c>
      <c r="I58" s="18" t="n"/>
      <c r="J58" s="18" t="n"/>
      <c r="K58" s="18" t="inlineStr">
        <is>
          <t>TC-PCK-009-01</t>
        </is>
      </c>
      <c r="L58" s="18" t="inlineStr">
        <is>
          <t>Functional (rule test harness + E2E scenario)</t>
        </is>
      </c>
      <c r="M58" s="18" t="inlineStr">
        <is>
          <t>SIT; UAT</t>
        </is>
      </c>
      <c r="N58" s="18" t="inlineStr">
        <is>
          <t>Not Started</t>
        </is>
      </c>
      <c r="O58" s="18" t="n"/>
      <c r="P58" s="18" t="n"/>
      <c r="Q58" s="18" t="inlineStr"/>
    </row>
    <row r="59">
      <c r="A59" s="18" t="inlineStr">
        <is>
          <t>PCK-EX-01</t>
        </is>
      </c>
      <c r="B59" s="18" t="inlineStr">
        <is>
          <t>Exception</t>
        </is>
      </c>
      <c r="C59" s="18" t="inlineStr">
        <is>
          <t>Picking</t>
        </is>
      </c>
      <c r="D59" s="18" t="inlineStr">
        <is>
          <t>4.5 Exception Handling</t>
        </is>
      </c>
      <c r="E59" s="18" t="inlineStr">
        <is>
          <t>docs/scope/03-functional-outbound.md</t>
        </is>
      </c>
      <c r="F59" s="18" t="inlineStr">
        <is>
          <t>Short pick / location empty</t>
        </is>
      </c>
      <c r="G59" s="18" t="inlineStr">
        <is>
          <t>Resolution: PCK-003 flow; location count task with priority</t>
        </is>
      </c>
      <c r="H59" s="18" t="inlineStr">
        <is>
          <t>M</t>
        </is>
      </c>
      <c r="I59" s="18" t="n"/>
      <c r="J59" s="18" t="n"/>
      <c r="K59" s="18" t="inlineStr">
        <is>
          <t>TC-PCK-EX-01-01</t>
        </is>
      </c>
      <c r="L59" s="18" t="inlineStr">
        <is>
          <t>Negative / exception scenario</t>
        </is>
      </c>
      <c r="M59" s="18" t="inlineStr">
        <is>
          <t>SIT; UAT</t>
        </is>
      </c>
      <c r="N59" s="18" t="inlineStr">
        <is>
          <t>Not Started</t>
        </is>
      </c>
      <c r="O59" s="18" t="n"/>
      <c r="P59" s="18" t="n"/>
      <c r="Q59" s="18" t="inlineStr">
        <is>
          <t>Priority defaulted to M (exception flow; see Legend)</t>
        </is>
      </c>
    </row>
    <row r="60">
      <c r="A60" s="18" t="inlineStr">
        <is>
          <t>PCK-EX-02</t>
        </is>
      </c>
      <c r="B60" s="18" t="inlineStr">
        <is>
          <t>Exception</t>
        </is>
      </c>
      <c r="C60" s="18" t="inlineStr">
        <is>
          <t>Picking</t>
        </is>
      </c>
      <c r="D60" s="18" t="inlineStr">
        <is>
          <t>4.5 Exception Handling</t>
        </is>
      </c>
      <c r="E60" s="18" t="inlineStr">
        <is>
          <t>docs/scope/03-functional-outbound.md</t>
        </is>
      </c>
      <c r="F60" s="18" t="inlineStr">
        <is>
          <t>Damaged item at location</t>
        </is>
      </c>
      <c r="G60" s="18" t="inlineStr">
        <is>
          <t>Resolution: Pick alternate; move damaged unit to DAMAGED status via RF; inventory adjustment workflow</t>
        </is>
      </c>
      <c r="H60" s="18" t="inlineStr">
        <is>
          <t>M</t>
        </is>
      </c>
      <c r="I60" s="18" t="n"/>
      <c r="J60" s="18" t="n"/>
      <c r="K60" s="18" t="inlineStr">
        <is>
          <t>TC-PCK-EX-02-01</t>
        </is>
      </c>
      <c r="L60" s="18" t="inlineStr">
        <is>
          <t>Negative / exception scenario</t>
        </is>
      </c>
      <c r="M60" s="18" t="inlineStr">
        <is>
          <t>SIT; UAT</t>
        </is>
      </c>
      <c r="N60" s="18" t="inlineStr">
        <is>
          <t>Not Started</t>
        </is>
      </c>
      <c r="O60" s="18" t="n"/>
      <c r="P60" s="18" t="n"/>
      <c r="Q60" s="18" t="inlineStr">
        <is>
          <t>Priority defaulted to M (exception flow; see Legend)</t>
        </is>
      </c>
    </row>
    <row r="61">
      <c r="A61" s="18" t="inlineStr">
        <is>
          <t>PCK-EX-03</t>
        </is>
      </c>
      <c r="B61" s="18" t="inlineStr">
        <is>
          <t>Exception</t>
        </is>
      </c>
      <c r="C61" s="18" t="inlineStr">
        <is>
          <t>Picking</t>
        </is>
      </c>
      <c r="D61" s="18" t="inlineStr">
        <is>
          <t>4.5 Exception Handling</t>
        </is>
      </c>
      <c r="E61" s="18" t="inlineStr">
        <is>
          <t>docs/scope/03-functional-outbound.md</t>
        </is>
      </c>
      <c r="F61" s="18" t="inlineStr">
        <is>
          <t>Wrong item scanned</t>
        </is>
      </c>
      <c r="G61" s="18" t="inlineStr">
        <is>
          <t>Resolution: Hard stop; audible alert; supervisor unlock after 3 consecutive errors</t>
        </is>
      </c>
      <c r="H61" s="18" t="inlineStr">
        <is>
          <t>M</t>
        </is>
      </c>
      <c r="I61" s="18" t="n"/>
      <c r="J61" s="18" t="n"/>
      <c r="K61" s="18" t="inlineStr">
        <is>
          <t>TC-PCK-EX-03-01</t>
        </is>
      </c>
      <c r="L61" s="18" t="inlineStr">
        <is>
          <t>Negative / exception scenario</t>
        </is>
      </c>
      <c r="M61" s="18" t="inlineStr">
        <is>
          <t>SIT; UAT</t>
        </is>
      </c>
      <c r="N61" s="18" t="inlineStr">
        <is>
          <t>Not Started</t>
        </is>
      </c>
      <c r="O61" s="18" t="n"/>
      <c r="P61" s="18" t="n"/>
      <c r="Q61" s="18" t="inlineStr">
        <is>
          <t>Priority defaulted to M (exception flow; see Legend)</t>
        </is>
      </c>
    </row>
    <row r="62">
      <c r="A62" s="18" t="inlineStr">
        <is>
          <t>PCK-EX-04</t>
        </is>
      </c>
      <c r="B62" s="18" t="inlineStr">
        <is>
          <t>Exception</t>
        </is>
      </c>
      <c r="C62" s="18" t="inlineStr">
        <is>
          <t>Picking</t>
        </is>
      </c>
      <c r="D62" s="18" t="inlineStr">
        <is>
          <t>4.5 Exception Handling</t>
        </is>
      </c>
      <c r="E62" s="18" t="inlineStr">
        <is>
          <t>docs/scope/03-functional-outbound.md</t>
        </is>
      </c>
      <c r="F62" s="18" t="inlineStr">
        <is>
          <t>Tote full</t>
        </is>
      </c>
      <c r="G62" s="18" t="inlineStr">
        <is>
          <t>Resolution: "Tote full" function: close tote, scan new tote, continue (order split across containers)</t>
        </is>
      </c>
      <c r="H62" s="18" t="inlineStr">
        <is>
          <t>M</t>
        </is>
      </c>
      <c r="I62" s="18" t="n"/>
      <c r="J62" s="18" t="n"/>
      <c r="K62" s="18" t="inlineStr">
        <is>
          <t>TC-PCK-EX-04-01</t>
        </is>
      </c>
      <c r="L62" s="18" t="inlineStr">
        <is>
          <t>Negative / exception scenario</t>
        </is>
      </c>
      <c r="M62" s="18" t="inlineStr">
        <is>
          <t>SIT; UAT</t>
        </is>
      </c>
      <c r="N62" s="18" t="inlineStr">
        <is>
          <t>Not Started</t>
        </is>
      </c>
      <c r="O62" s="18" t="n"/>
      <c r="P62" s="18" t="n"/>
      <c r="Q62" s="18" t="inlineStr">
        <is>
          <t>Priority defaulted to M (exception flow; see Legend)</t>
        </is>
      </c>
    </row>
    <row r="63">
      <c r="A63" s="18" t="inlineStr">
        <is>
          <t>PCK-EX-05</t>
        </is>
      </c>
      <c r="B63" s="18" t="inlineStr">
        <is>
          <t>Exception</t>
        </is>
      </c>
      <c r="C63" s="18" t="inlineStr">
        <is>
          <t>Picking</t>
        </is>
      </c>
      <c r="D63" s="18" t="inlineStr">
        <is>
          <t>4.5 Exception Handling</t>
        </is>
      </c>
      <c r="E63" s="18" t="inlineStr">
        <is>
          <t>docs/scope/03-functional-outbound.md</t>
        </is>
      </c>
      <c r="F63" s="18" t="inlineStr">
        <is>
          <t>Picker abandons task (shift end/break)</t>
        </is>
      </c>
      <c r="G63" s="18" t="inlineStr">
        <is>
          <t>Resolution: Task suspended; containers dropped at drop location; task re-assigned with pick progress preserved</t>
        </is>
      </c>
      <c r="H63" s="18" t="inlineStr">
        <is>
          <t>M</t>
        </is>
      </c>
      <c r="I63" s="18" t="n"/>
      <c r="J63" s="18" t="n"/>
      <c r="K63" s="18" t="inlineStr">
        <is>
          <t>TC-PCK-EX-05-01</t>
        </is>
      </c>
      <c r="L63" s="18" t="inlineStr">
        <is>
          <t>Negative / exception scenario</t>
        </is>
      </c>
      <c r="M63" s="18" t="inlineStr">
        <is>
          <t>SIT; UAT</t>
        </is>
      </c>
      <c r="N63" s="18" t="inlineStr">
        <is>
          <t>Not Started</t>
        </is>
      </c>
      <c r="O63" s="18" t="n"/>
      <c r="P63" s="18" t="n"/>
      <c r="Q63" s="18" t="inlineStr">
        <is>
          <t>Priority defaulted to M (exception flow; see Legend)</t>
        </is>
      </c>
    </row>
    <row r="64">
      <c r="A64" s="18" t="inlineStr">
        <is>
          <t>PCK-EX-06</t>
        </is>
      </c>
      <c r="B64" s="18" t="inlineStr">
        <is>
          <t>Exception</t>
        </is>
      </c>
      <c r="C64" s="18" t="inlineStr">
        <is>
          <t>Picking</t>
        </is>
      </c>
      <c r="D64" s="18" t="inlineStr">
        <is>
          <t>4.5 Exception Handling</t>
        </is>
      </c>
      <c r="E64" s="18" t="inlineStr">
        <is>
          <t>docs/scope/03-functional-outbound.md</t>
        </is>
      </c>
      <c r="F64" s="18" t="inlineStr">
        <is>
          <t>Replenishment not complete when pick arrives</t>
        </is>
      </c>
      <c r="G64" s="18" t="inlineStr">
        <is>
          <t>Resolution: Pick task held in WAIT_REPLEN; interleaved; priority boost on the replenishment task</t>
        </is>
      </c>
      <c r="H64" s="18" t="inlineStr">
        <is>
          <t>M</t>
        </is>
      </c>
      <c r="I64" s="18" t="n"/>
      <c r="J64" s="18" t="n"/>
      <c r="K64" s="18" t="inlineStr">
        <is>
          <t>TC-PCK-EX-06-01</t>
        </is>
      </c>
      <c r="L64" s="18" t="inlineStr">
        <is>
          <t>Negative / exception scenario</t>
        </is>
      </c>
      <c r="M64" s="18" t="inlineStr">
        <is>
          <t>SIT; UAT</t>
        </is>
      </c>
      <c r="N64" s="18" t="inlineStr">
        <is>
          <t>Not Started</t>
        </is>
      </c>
      <c r="O64" s="18" t="n"/>
      <c r="P64" s="18" t="n"/>
      <c r="Q64" s="18" t="inlineStr">
        <is>
          <t>Priority defaulted to M (exception flow; see Legend)</t>
        </is>
      </c>
    </row>
    <row r="65">
      <c r="A65" s="18" t="inlineStr">
        <is>
          <t>PCK-EX-07</t>
        </is>
      </c>
      <c r="B65" s="18" t="inlineStr">
        <is>
          <t>Exception</t>
        </is>
      </c>
      <c r="C65" s="18" t="inlineStr">
        <is>
          <t>Picking</t>
        </is>
      </c>
      <c r="D65" s="18" t="inlineStr">
        <is>
          <t>4.5 Exception Handling</t>
        </is>
      </c>
      <c r="E65" s="18" t="inlineStr">
        <is>
          <t>docs/scope/03-functional-outbound.md</t>
        </is>
      </c>
      <c r="F65" s="18" t="inlineStr">
        <is>
          <t>Expired stock at pick</t>
        </is>
      </c>
      <c r="G65" s="18" t="inlineStr">
        <is>
          <t>Resolution: Rejected by validation; stock set to EXPIRED; re-allocate</t>
        </is>
      </c>
      <c r="H65" s="18" t="inlineStr">
        <is>
          <t>M</t>
        </is>
      </c>
      <c r="I65" s="18" t="n"/>
      <c r="J65" s="18" t="n"/>
      <c r="K65" s="18" t="inlineStr">
        <is>
          <t>TC-PCK-EX-07-01</t>
        </is>
      </c>
      <c r="L65" s="18" t="inlineStr">
        <is>
          <t>Negative / exception scenario</t>
        </is>
      </c>
      <c r="M65" s="18" t="inlineStr">
        <is>
          <t>SIT; UAT</t>
        </is>
      </c>
      <c r="N65" s="18" t="inlineStr">
        <is>
          <t>Not Started</t>
        </is>
      </c>
      <c r="O65" s="18" t="n"/>
      <c r="P65" s="18" t="n"/>
      <c r="Q65" s="18" t="inlineStr">
        <is>
          <t>Priority defaulted to M (exception flow; see Legend)</t>
        </is>
      </c>
    </row>
    <row r="66">
      <c r="A66" s="18" t="inlineStr">
        <is>
          <t>SHP-001</t>
        </is>
      </c>
      <c r="B66" s="18" t="inlineStr">
        <is>
          <t>Requirement</t>
        </is>
      </c>
      <c r="C66" s="18" t="inlineStr">
        <is>
          <t>Packing, Staging &amp; Shipping</t>
        </is>
      </c>
      <c r="D66" s="18" t="inlineStr">
        <is>
          <t>5.4 System Rules</t>
        </is>
      </c>
      <c r="E66" s="18" t="inlineStr">
        <is>
          <t>docs/scope/03-functional-outbound.md</t>
        </is>
      </c>
      <c r="F66" s="18" t="inlineStr">
        <is>
          <t>A carton cannot be closed with unverified items unless supervisor override.</t>
        </is>
      </c>
      <c r="G66" s="18" t="inlineStr">
        <is>
          <t>Rule/requirement enforced as stated (positive + negative case)</t>
        </is>
      </c>
      <c r="H66" s="18" t="inlineStr">
        <is>
          <t>M</t>
        </is>
      </c>
      <c r="I66" s="18" t="n"/>
      <c r="J66" s="18" t="n"/>
      <c r="K66" s="18" t="inlineStr">
        <is>
          <t>TC-SHP-001-01</t>
        </is>
      </c>
      <c r="L66" s="18" t="inlineStr">
        <is>
          <t>Functional (rule test harness + E2E scenario)</t>
        </is>
      </c>
      <c r="M66" s="18" t="inlineStr">
        <is>
          <t>SIT; UAT</t>
        </is>
      </c>
      <c r="N66" s="18" t="inlineStr">
        <is>
          <t>Not Started</t>
        </is>
      </c>
      <c r="O66" s="18" t="n"/>
      <c r="P66" s="18" t="n"/>
      <c r="Q66" s="18" t="inlineStr"/>
    </row>
    <row r="67">
      <c r="A67" s="18" t="inlineStr">
        <is>
          <t>SHP-002</t>
        </is>
      </c>
      <c r="B67" s="18" t="inlineStr">
        <is>
          <t>Requirement</t>
        </is>
      </c>
      <c r="C67" s="18" t="inlineStr">
        <is>
          <t>Packing, Staging &amp; Shipping</t>
        </is>
      </c>
      <c r="D67" s="18" t="inlineStr">
        <is>
          <t>5.4 System Rules</t>
        </is>
      </c>
      <c r="E67" s="18" t="inlineStr">
        <is>
          <t>docs/scope/03-functional-outbound.md</t>
        </is>
      </c>
      <c r="F67" s="18" t="inlineStr">
        <is>
          <t>Order cannot be loaded unless all cartons are packed and labelled (or partial-ship allowed).</t>
        </is>
      </c>
      <c r="G67" s="18" t="inlineStr">
        <is>
          <t>Rule/requirement enforced as stated (positive + negative case)</t>
        </is>
      </c>
      <c r="H67" s="18" t="inlineStr">
        <is>
          <t>M</t>
        </is>
      </c>
      <c r="I67" s="18" t="n"/>
      <c r="J67" s="18" t="n"/>
      <c r="K67" s="18" t="inlineStr">
        <is>
          <t>TC-SHP-002-01</t>
        </is>
      </c>
      <c r="L67" s="18" t="inlineStr">
        <is>
          <t>Functional (rule test harness + E2E scenario)</t>
        </is>
      </c>
      <c r="M67" s="18" t="inlineStr">
        <is>
          <t>SIT; UAT</t>
        </is>
      </c>
      <c r="N67" s="18" t="inlineStr">
        <is>
          <t>Not Started</t>
        </is>
      </c>
      <c r="O67" s="18" t="n"/>
      <c r="P67" s="18" t="n"/>
      <c r="Q67" s="18" t="inlineStr"/>
    </row>
    <row r="68">
      <c r="A68" s="18" t="inlineStr">
        <is>
          <t>SHP-003</t>
        </is>
      </c>
      <c r="B68" s="18" t="inlineStr">
        <is>
          <t>Requirement</t>
        </is>
      </c>
      <c r="C68" s="18" t="inlineStr">
        <is>
          <t>Packing, Staging &amp; Shipping</t>
        </is>
      </c>
      <c r="D68" s="18" t="inlineStr">
        <is>
          <t>5.4 System Rules</t>
        </is>
      </c>
      <c r="E68" s="18" t="inlineStr">
        <is>
          <t>docs/scope/03-functional-outbound.md</t>
        </is>
      </c>
      <c r="F68" s="18" t="inlineStr">
        <is>
          <t>Load verification prevents cross-loading (scanned unit's ship-to/route ≠ trailer).</t>
        </is>
      </c>
      <c r="G68" s="18" t="inlineStr">
        <is>
          <t>Rule/requirement enforced as stated (positive + negative case)</t>
        </is>
      </c>
      <c r="H68" s="18" t="inlineStr">
        <is>
          <t>M</t>
        </is>
      </c>
      <c r="I68" s="18" t="n"/>
      <c r="J68" s="18" t="n"/>
      <c r="K68" s="18" t="inlineStr">
        <is>
          <t>TC-SHP-003-01</t>
        </is>
      </c>
      <c r="L68" s="18" t="inlineStr">
        <is>
          <t>Functional (rule test harness + E2E scenario)</t>
        </is>
      </c>
      <c r="M68" s="18" t="inlineStr">
        <is>
          <t>SIT; UAT</t>
        </is>
      </c>
      <c r="N68" s="18" t="inlineStr">
        <is>
          <t>Not Started</t>
        </is>
      </c>
      <c r="O68" s="18" t="n"/>
      <c r="P68" s="18" t="n"/>
      <c r="Q68" s="18" t="inlineStr"/>
    </row>
    <row r="69">
      <c r="A69" s="18" t="inlineStr">
        <is>
          <t>SHP-004</t>
        </is>
      </c>
      <c r="B69" s="18" t="inlineStr">
        <is>
          <t>Requirement</t>
        </is>
      </c>
      <c r="C69" s="18" t="inlineStr">
        <is>
          <t>Packing, Staging &amp; Shipping</t>
        </is>
      </c>
      <c r="D69" s="18" t="inlineStr">
        <is>
          <t>5.4 System Rules</t>
        </is>
      </c>
      <c r="E69" s="18" t="inlineStr">
        <is>
          <t>docs/scope/03-functional-outbound.md</t>
        </is>
      </c>
      <c r="F69" s="18" t="inlineStr">
        <is>
          <t>Parcel manifest must be closed with the carrier before trailer departure; failure blocks ship confirm for that carrier.</t>
        </is>
      </c>
      <c r="G69" s="18" t="inlineStr">
        <is>
          <t>Rule/requirement enforced as stated (positive + negative case)</t>
        </is>
      </c>
      <c r="H69" s="18" t="inlineStr">
        <is>
          <t>M</t>
        </is>
      </c>
      <c r="I69" s="18" t="n"/>
      <c r="J69" s="18" t="n"/>
      <c r="K69" s="18" t="inlineStr">
        <is>
          <t>TC-SHP-004-01</t>
        </is>
      </c>
      <c r="L69" s="18" t="inlineStr">
        <is>
          <t>Functional (rule test harness + E2E scenario)</t>
        </is>
      </c>
      <c r="M69" s="18" t="inlineStr">
        <is>
          <t>SIT; UAT</t>
        </is>
      </c>
      <c r="N69" s="18" t="inlineStr">
        <is>
          <t>Not Started</t>
        </is>
      </c>
      <c r="O69" s="18" t="n"/>
      <c r="P69" s="18" t="n"/>
      <c r="Q69" s="18" t="inlineStr"/>
    </row>
    <row r="70">
      <c r="A70" s="18" t="inlineStr">
        <is>
          <t>SHP-005</t>
        </is>
      </c>
      <c r="B70" s="18" t="inlineStr">
        <is>
          <t>Requirement</t>
        </is>
      </c>
      <c r="C70" s="18" t="inlineStr">
        <is>
          <t>Packing, Staging &amp; Shipping</t>
        </is>
      </c>
      <c r="D70" s="18" t="inlineStr">
        <is>
          <t>5.4 System Rules</t>
        </is>
      </c>
      <c r="E70" s="18" t="inlineStr">
        <is>
          <t>docs/scope/03-functional-outbound.md</t>
        </is>
      </c>
      <c r="F70" s="18" t="inlineStr">
        <is>
          <t>Ship confirm is atomic per ERP delivery; if the ERP rejects PGI, the delivery goes to SHIP_ERROR and remains physically shipped. The integration team resolves it within the SLA (§D.6).</t>
        </is>
      </c>
      <c r="G70" s="18" t="inlineStr">
        <is>
          <t>Rule/requirement enforced as stated (positive + negative case)</t>
        </is>
      </c>
      <c r="H70" s="18" t="inlineStr">
        <is>
          <t>M</t>
        </is>
      </c>
      <c r="I70" s="18" t="n"/>
      <c r="J70" s="18" t="n"/>
      <c r="K70" s="18" t="inlineStr">
        <is>
          <t>TC-SHP-005-01</t>
        </is>
      </c>
      <c r="L70" s="18" t="inlineStr">
        <is>
          <t>Functional (rule test harness + E2E scenario)</t>
        </is>
      </c>
      <c r="M70" s="18" t="inlineStr">
        <is>
          <t>SIT; UAT</t>
        </is>
      </c>
      <c r="N70" s="18" t="inlineStr">
        <is>
          <t>Not Started</t>
        </is>
      </c>
      <c r="O70" s="18" t="n"/>
      <c r="P70" s="18" t="n"/>
      <c r="Q70" s="18" t="inlineStr"/>
    </row>
    <row r="71">
      <c r="A71" s="18" t="inlineStr">
        <is>
          <t>SHP-006</t>
        </is>
      </c>
      <c r="B71" s="18" t="inlineStr">
        <is>
          <t>Requirement</t>
        </is>
      </c>
      <c r="C71" s="18" t="inlineStr">
        <is>
          <t>Packing, Staging &amp; Shipping</t>
        </is>
      </c>
      <c r="D71" s="18" t="inlineStr">
        <is>
          <t>5.4 System Rules</t>
        </is>
      </c>
      <c r="E71" s="18" t="inlineStr">
        <is>
          <t>docs/scope/03-functional-outbound.md</t>
        </is>
      </c>
      <c r="F71" s="18" t="inlineStr">
        <is>
          <t>DG shipments require DG documentation, UN labels, and package marks validated before close.</t>
        </is>
      </c>
      <c r="G71" s="18" t="inlineStr">
        <is>
          <t>Rule/requirement enforced as stated (positive + negative case)</t>
        </is>
      </c>
      <c r="H71" s="18" t="inlineStr">
        <is>
          <t>M</t>
        </is>
      </c>
      <c r="I71" s="18" t="n"/>
      <c r="J71" s="18" t="n"/>
      <c r="K71" s="18" t="inlineStr">
        <is>
          <t>TC-SHP-006-01</t>
        </is>
      </c>
      <c r="L71" s="18" t="inlineStr">
        <is>
          <t>Functional (rule test harness + E2E scenario)</t>
        </is>
      </c>
      <c r="M71" s="18" t="inlineStr">
        <is>
          <t>SIT; UAT</t>
        </is>
      </c>
      <c r="N71" s="18" t="inlineStr">
        <is>
          <t>Not Started</t>
        </is>
      </c>
      <c r="O71" s="18" t="n"/>
      <c r="P71" s="18" t="n"/>
      <c r="Q71" s="18" t="inlineStr"/>
    </row>
    <row r="72">
      <c r="A72" s="18" t="inlineStr">
        <is>
          <t>SHP-007</t>
        </is>
      </c>
      <c r="B72" s="18" t="inlineStr">
        <is>
          <t>Requirement</t>
        </is>
      </c>
      <c r="C72" s="18" t="inlineStr">
        <is>
          <t>Packing, Staging &amp; Shipping</t>
        </is>
      </c>
      <c r="D72" s="18" t="inlineStr">
        <is>
          <t>5.4 System Rules</t>
        </is>
      </c>
      <c r="E72" s="18" t="inlineStr">
        <is>
          <t>docs/scope/03-functional-outbound.md</t>
        </is>
      </c>
      <c r="F72" s="18" t="inlineStr">
        <is>
          <t>Serial numbers shipped are reported to ERP per delivery item (SAP serial number profile, Oracle serial transaction).</t>
        </is>
      </c>
      <c r="G72" s="18" t="inlineStr">
        <is>
          <t>Rule/requirement enforced as stated (positive + negative case)</t>
        </is>
      </c>
      <c r="H72" s="18" t="inlineStr">
        <is>
          <t>M</t>
        </is>
      </c>
      <c r="I72" s="18" t="n"/>
      <c r="J72" s="18" t="n"/>
      <c r="K72" s="18" t="inlineStr">
        <is>
          <t>TC-SHP-007-01</t>
        </is>
      </c>
      <c r="L72" s="18" t="inlineStr">
        <is>
          <t>Functional (rule test harness + E2E scenario)</t>
        </is>
      </c>
      <c r="M72" s="18" t="inlineStr">
        <is>
          <t>SIT; UAT</t>
        </is>
      </c>
      <c r="N72" s="18" t="inlineStr">
        <is>
          <t>Not Started</t>
        </is>
      </c>
      <c r="O72" s="18" t="n"/>
      <c r="P72" s="18" t="n"/>
      <c r="Q72" s="18" t="inlineStr"/>
    </row>
    <row r="73">
      <c r="A73" s="18" t="inlineStr">
        <is>
          <t>SHP-EX-01</t>
        </is>
      </c>
      <c r="B73" s="18" t="inlineStr">
        <is>
          <t>Exception</t>
        </is>
      </c>
      <c r="C73" s="18" t="inlineStr">
        <is>
          <t>Packing, Staging &amp; Shipping</t>
        </is>
      </c>
      <c r="D73" s="18" t="inlineStr">
        <is>
          <t>5.5 Exception Handling</t>
        </is>
      </c>
      <c r="E73" s="18" t="inlineStr">
        <is>
          <t>docs/scope/03-functional-outbound.md</t>
        </is>
      </c>
      <c r="F73" s="18" t="inlineStr">
        <is>
          <t>Weight mismatch</t>
        </is>
      </c>
      <c r="G73" s="18" t="inlineStr">
        <is>
          <t>Resolution: Audit lane: full re-verify; root cause captured (pick error, master data weight error; master data correction request generated)</t>
        </is>
      </c>
      <c r="H73" s="18" t="inlineStr">
        <is>
          <t>M</t>
        </is>
      </c>
      <c r="I73" s="18" t="n"/>
      <c r="J73" s="18" t="n"/>
      <c r="K73" s="18" t="inlineStr">
        <is>
          <t>TC-SHP-EX-01-01</t>
        </is>
      </c>
      <c r="L73" s="18" t="inlineStr">
        <is>
          <t>Negative / exception scenario</t>
        </is>
      </c>
      <c r="M73" s="18" t="inlineStr">
        <is>
          <t>SIT; UAT</t>
        </is>
      </c>
      <c r="N73" s="18" t="inlineStr">
        <is>
          <t>Not Started</t>
        </is>
      </c>
      <c r="O73" s="18" t="n"/>
      <c r="P73" s="18" t="n"/>
      <c r="Q73" s="18" t="inlineStr">
        <is>
          <t>Priority defaulted to M (exception flow; see Legend)</t>
        </is>
      </c>
    </row>
    <row r="74">
      <c r="A74" s="18" t="inlineStr">
        <is>
          <t>SHP-EX-02</t>
        </is>
      </c>
      <c r="B74" s="18" t="inlineStr">
        <is>
          <t>Exception</t>
        </is>
      </c>
      <c r="C74" s="18" t="inlineStr">
        <is>
          <t>Packing, Staging &amp; Shipping</t>
        </is>
      </c>
      <c r="D74" s="18" t="inlineStr">
        <is>
          <t>5.5 Exception Handling</t>
        </is>
      </c>
      <c r="E74" s="18" t="inlineStr">
        <is>
          <t>docs/scope/03-functional-outbound.md</t>
        </is>
      </c>
      <c r="F74" s="18" t="inlineStr">
        <is>
          <t>Carrier label API failure</t>
        </is>
      </c>
      <c r="G74" s="18" t="inlineStr">
        <is>
          <t>Resolution: Retry with exponential backoff; fallback to alternate carrier/service if rule permits; otherwise queue and alert</t>
        </is>
      </c>
      <c r="H74" s="18" t="inlineStr">
        <is>
          <t>M</t>
        </is>
      </c>
      <c r="I74" s="18" t="n"/>
      <c r="J74" s="18" t="n"/>
      <c r="K74" s="18" t="inlineStr">
        <is>
          <t>TC-SHP-EX-02-01</t>
        </is>
      </c>
      <c r="L74" s="18" t="inlineStr">
        <is>
          <t>Negative / exception scenario</t>
        </is>
      </c>
      <c r="M74" s="18" t="inlineStr">
        <is>
          <t>SIT; UAT</t>
        </is>
      </c>
      <c r="N74" s="18" t="inlineStr">
        <is>
          <t>Not Started</t>
        </is>
      </c>
      <c r="O74" s="18" t="n"/>
      <c r="P74" s="18" t="n"/>
      <c r="Q74" s="18" t="inlineStr">
        <is>
          <t>Priority defaulted to M (exception flow; see Legend)</t>
        </is>
      </c>
    </row>
    <row r="75">
      <c r="A75" s="18" t="inlineStr">
        <is>
          <t>SHP-EX-03</t>
        </is>
      </c>
      <c r="B75" s="18" t="inlineStr">
        <is>
          <t>Exception</t>
        </is>
      </c>
      <c r="C75" s="18" t="inlineStr">
        <is>
          <t>Packing, Staging &amp; Shipping</t>
        </is>
      </c>
      <c r="D75" s="18" t="inlineStr">
        <is>
          <t>5.5 Exception Handling</t>
        </is>
      </c>
      <c r="E75" s="18" t="inlineStr">
        <is>
          <t>docs/scope/03-functional-outbound.md</t>
        </is>
      </c>
      <c r="F75" s="18" t="inlineStr">
        <is>
          <t>Missing carton at loading</t>
        </is>
      </c>
      <c r="G75" s="18" t="inlineStr">
        <is>
          <t>Resolution: Trailer cannot close; search task; supervisor may ship short → delivery adjusted (carton re-assigned to next shipment)</t>
        </is>
      </c>
      <c r="H75" s="18" t="inlineStr">
        <is>
          <t>M</t>
        </is>
      </c>
      <c r="I75" s="18" t="n"/>
      <c r="J75" s="18" t="n"/>
      <c r="K75" s="18" t="inlineStr">
        <is>
          <t>TC-SHP-EX-03-01</t>
        </is>
      </c>
      <c r="L75" s="18" t="inlineStr">
        <is>
          <t>Negative / exception scenario</t>
        </is>
      </c>
      <c r="M75" s="18" t="inlineStr">
        <is>
          <t>SIT; UAT</t>
        </is>
      </c>
      <c r="N75" s="18" t="inlineStr">
        <is>
          <t>Not Started</t>
        </is>
      </c>
      <c r="O75" s="18" t="n"/>
      <c r="P75" s="18" t="n"/>
      <c r="Q75" s="18" t="inlineStr">
        <is>
          <t>Priority defaulted to M (exception flow; see Legend)</t>
        </is>
      </c>
    </row>
    <row r="76">
      <c r="A76" s="18" t="inlineStr">
        <is>
          <t>SHP-EX-04</t>
        </is>
      </c>
      <c r="B76" s="18" t="inlineStr">
        <is>
          <t>Exception</t>
        </is>
      </c>
      <c r="C76" s="18" t="inlineStr">
        <is>
          <t>Packing, Staging &amp; Shipping</t>
        </is>
      </c>
      <c r="D76" s="18" t="inlineStr">
        <is>
          <t>5.5 Exception Handling</t>
        </is>
      </c>
      <c r="E76" s="18" t="inlineStr">
        <is>
          <t>docs/scope/03-functional-outbound.md</t>
        </is>
      </c>
      <c r="F76" s="18" t="inlineStr">
        <is>
          <t>Trailer capacity exceeded</t>
        </is>
      </c>
      <c r="G76" s="18" t="inlineStr">
        <is>
          <t>Resolution: Split load; remaining pallets assigned to new trailer / next pickup</t>
        </is>
      </c>
      <c r="H76" s="18" t="inlineStr">
        <is>
          <t>M</t>
        </is>
      </c>
      <c r="I76" s="18" t="n"/>
      <c r="J76" s="18" t="n"/>
      <c r="K76" s="18" t="inlineStr">
        <is>
          <t>TC-SHP-EX-04-01</t>
        </is>
      </c>
      <c r="L76" s="18" t="inlineStr">
        <is>
          <t>Negative / exception scenario</t>
        </is>
      </c>
      <c r="M76" s="18" t="inlineStr">
        <is>
          <t>SIT; UAT</t>
        </is>
      </c>
      <c r="N76" s="18" t="inlineStr">
        <is>
          <t>Not Started</t>
        </is>
      </c>
      <c r="O76" s="18" t="n"/>
      <c r="P76" s="18" t="n"/>
      <c r="Q76" s="18" t="inlineStr">
        <is>
          <t>Priority defaulted to M (exception flow; see Legend)</t>
        </is>
      </c>
    </row>
    <row r="77">
      <c r="A77" s="18" t="inlineStr">
        <is>
          <t>SHP-EX-05</t>
        </is>
      </c>
      <c r="B77" s="18" t="inlineStr">
        <is>
          <t>Exception</t>
        </is>
      </c>
      <c r="C77" s="18" t="inlineStr">
        <is>
          <t>Packing, Staging &amp; Shipping</t>
        </is>
      </c>
      <c r="D77" s="18" t="inlineStr">
        <is>
          <t>5.5 Exception Handling</t>
        </is>
      </c>
      <c r="E77" s="18" t="inlineStr">
        <is>
          <t>docs/scope/03-functional-outbound.md</t>
        </is>
      </c>
      <c r="F77" s="18" t="inlineStr">
        <is>
          <t>ERP PGI failure (e.g., period closed, stock inconsistency)</t>
        </is>
      </c>
      <c r="G77" s="18" t="inlineStr">
        <is>
          <t>Resolution: Retry; if business error, integration workbench with root cause; must be resolved before ERP period close</t>
        </is>
      </c>
      <c r="H77" s="18" t="inlineStr">
        <is>
          <t>M</t>
        </is>
      </c>
      <c r="I77" s="18" t="n"/>
      <c r="J77" s="18" t="n"/>
      <c r="K77" s="18" t="inlineStr">
        <is>
          <t>TC-SHP-EX-05-01</t>
        </is>
      </c>
      <c r="L77" s="18" t="inlineStr">
        <is>
          <t>Negative / exception scenario</t>
        </is>
      </c>
      <c r="M77" s="18" t="inlineStr">
        <is>
          <t>SIT; UAT</t>
        </is>
      </c>
      <c r="N77" s="18" t="inlineStr">
        <is>
          <t>Not Started</t>
        </is>
      </c>
      <c r="O77" s="18" t="n"/>
      <c r="P77" s="18" t="n"/>
      <c r="Q77" s="18" t="inlineStr">
        <is>
          <t>Priority defaulted to M (exception flow; see Legend)</t>
        </is>
      </c>
    </row>
    <row r="78">
      <c r="A78" s="18" t="inlineStr">
        <is>
          <t>SHP-EX-06</t>
        </is>
      </c>
      <c r="B78" s="18" t="inlineStr">
        <is>
          <t>Exception</t>
        </is>
      </c>
      <c r="C78" s="18" t="inlineStr">
        <is>
          <t>Packing, Staging &amp; Shipping</t>
        </is>
      </c>
      <c r="D78" s="18" t="inlineStr">
        <is>
          <t>5.5 Exception Handling</t>
        </is>
      </c>
      <c r="E78" s="18" t="inlineStr">
        <is>
          <t>docs/scope/03-functional-outbound.md</t>
        </is>
      </c>
      <c r="F78" s="18" t="inlineStr">
        <is>
          <t>Order cancelled after pack</t>
        </is>
      </c>
      <c r="G78" s="18" t="inlineStr">
        <is>
          <t>Resolution: Unpack workflow; items to return-to-stock; labels voided with carrier</t>
        </is>
      </c>
      <c r="H78" s="18" t="inlineStr">
        <is>
          <t>M</t>
        </is>
      </c>
      <c r="I78" s="18" t="n"/>
      <c r="J78" s="18" t="n"/>
      <c r="K78" s="18" t="inlineStr">
        <is>
          <t>TC-SHP-EX-06-01</t>
        </is>
      </c>
      <c r="L78" s="18" t="inlineStr">
        <is>
          <t>Negative / exception scenario</t>
        </is>
      </c>
      <c r="M78" s="18" t="inlineStr">
        <is>
          <t>SIT; UAT</t>
        </is>
      </c>
      <c r="N78" s="18" t="inlineStr">
        <is>
          <t>Not Started</t>
        </is>
      </c>
      <c r="O78" s="18" t="n"/>
      <c r="P78" s="18" t="n"/>
      <c r="Q78" s="18" t="inlineStr">
        <is>
          <t>Priority defaulted to M (exception flow; see Legend)</t>
        </is>
      </c>
    </row>
    <row r="79">
      <c r="A79" s="18" t="inlineStr">
        <is>
          <t>INV-001</t>
        </is>
      </c>
      <c r="B79" s="18" t="inlineStr">
        <is>
          <t>Requirement</t>
        </is>
      </c>
      <c r="C79" s="18" t="inlineStr">
        <is>
          <t>Inventory Management</t>
        </is>
      </c>
      <c r="D79" s="18" t="inlineStr">
        <is>
          <t>6.4 System Rules</t>
        </is>
      </c>
      <c r="E79" s="18" t="inlineStr">
        <is>
          <t>docs/scope/04-functional-inventory.md</t>
        </is>
      </c>
      <c r="F79" s="18" t="inlineStr">
        <is>
          <t>No negative inventory at location level, ever.</t>
        </is>
      </c>
      <c r="G79" s="18" t="inlineStr">
        <is>
          <t>Rule/requirement enforced as stated (positive + negative case)</t>
        </is>
      </c>
      <c r="H79" s="18" t="inlineStr">
        <is>
          <t>M</t>
        </is>
      </c>
      <c r="I79" s="18" t="n"/>
      <c r="J79" s="18" t="n"/>
      <c r="K79" s="18" t="inlineStr">
        <is>
          <t>TC-INV-001-01</t>
        </is>
      </c>
      <c r="L79" s="18" t="inlineStr">
        <is>
          <t>Functional (rule test harness + E2E scenario)</t>
        </is>
      </c>
      <c r="M79" s="18" t="inlineStr">
        <is>
          <t>SIT; UAT</t>
        </is>
      </c>
      <c r="N79" s="18" t="inlineStr">
        <is>
          <t>Not Started</t>
        </is>
      </c>
      <c r="O79" s="18" t="n"/>
      <c r="P79" s="18" t="n"/>
      <c r="Q79" s="18" t="inlineStr"/>
    </row>
    <row r="80">
      <c r="A80" s="18" t="inlineStr">
        <is>
          <t>INV-002</t>
        </is>
      </c>
      <c r="B80" s="18" t="inlineStr">
        <is>
          <t>Requirement</t>
        </is>
      </c>
      <c r="C80" s="18" t="inlineStr">
        <is>
          <t>Inventory Management</t>
        </is>
      </c>
      <c r="D80" s="18" t="inlineStr">
        <is>
          <t>6.4 System Rules</t>
        </is>
      </c>
      <c r="E80" s="18" t="inlineStr">
        <is>
          <t>docs/scope/04-functional-inventory.md</t>
        </is>
      </c>
      <c r="F80" s="18" t="inlineStr">
        <is>
          <t>All adjustments require a reason code; each reason code defines the ERP movement mapping, approval requirement, and whether the adjustment counts against inventory accuracy KPIs.</t>
        </is>
      </c>
      <c r="G80" s="18" t="inlineStr">
        <is>
          <t>Rule/requirement enforced as stated (positive + negative case)</t>
        </is>
      </c>
      <c r="H80" s="18" t="inlineStr">
        <is>
          <t>M</t>
        </is>
      </c>
      <c r="I80" s="18" t="n"/>
      <c r="J80" s="18" t="n"/>
      <c r="K80" s="18" t="inlineStr">
        <is>
          <t>TC-INV-002-01</t>
        </is>
      </c>
      <c r="L80" s="18" t="inlineStr">
        <is>
          <t>Functional (rule test harness + E2E scenario)</t>
        </is>
      </c>
      <c r="M80" s="18" t="inlineStr">
        <is>
          <t>SIT; UAT</t>
        </is>
      </c>
      <c r="N80" s="18" t="inlineStr">
        <is>
          <t>Not Started</t>
        </is>
      </c>
      <c r="O80" s="18" t="n"/>
      <c r="P80" s="18" t="n"/>
      <c r="Q80" s="18" t="inlineStr"/>
    </row>
    <row r="81">
      <c r="A81" s="18" t="inlineStr">
        <is>
          <t>INV-003</t>
        </is>
      </c>
      <c r="B81" s="18" t="inlineStr">
        <is>
          <t>Requirement</t>
        </is>
      </c>
      <c r="C81" s="18" t="inlineStr">
        <is>
          <t>Inventory Management</t>
        </is>
      </c>
      <c r="D81" s="18" t="inlineStr">
        <is>
          <t>6.4 System Rules</t>
        </is>
      </c>
      <c r="E81" s="18" t="inlineStr">
        <is>
          <t>docs/scope/04-functional-inventory.md</t>
        </is>
      </c>
      <c r="F81" s="18" t="inlineStr">
        <is>
          <t>Count tasks are blind (expected qty not shown).</t>
        </is>
      </c>
      <c r="G81" s="18" t="inlineStr">
        <is>
          <t>Rule/requirement enforced as stated (positive + negative case)</t>
        </is>
      </c>
      <c r="H81" s="18" t="inlineStr">
        <is>
          <t>M</t>
        </is>
      </c>
      <c r="I81" s="18" t="n"/>
      <c r="J81" s="18" t="n"/>
      <c r="K81" s="18" t="inlineStr">
        <is>
          <t>TC-INV-003-01</t>
        </is>
      </c>
      <c r="L81" s="18" t="inlineStr">
        <is>
          <t>Functional (rule test harness + E2E scenario)</t>
        </is>
      </c>
      <c r="M81" s="18" t="inlineStr">
        <is>
          <t>SIT; UAT</t>
        </is>
      </c>
      <c r="N81" s="18" t="inlineStr">
        <is>
          <t>Not Started</t>
        </is>
      </c>
      <c r="O81" s="18" t="n"/>
      <c r="P81" s="18" t="n"/>
      <c r="Q81" s="18" t="inlineStr"/>
    </row>
    <row r="82">
      <c r="A82" s="18" t="inlineStr">
        <is>
          <t>INV-004</t>
        </is>
      </c>
      <c r="B82" s="18" t="inlineStr">
        <is>
          <t>Requirement</t>
        </is>
      </c>
      <c r="C82" s="18" t="inlineStr">
        <is>
          <t>Inventory Management</t>
        </is>
      </c>
      <c r="D82" s="18" t="inlineStr">
        <is>
          <t>6.4 System Rules</t>
        </is>
      </c>
      <c r="E82" s="18" t="inlineStr">
        <is>
          <t>docs/scope/04-functional-inventory.md</t>
        </is>
      </c>
      <c r="F82" s="18" t="inlineStr">
        <is>
          <t>Counts in locations with open tasks (pending pick/putaway) are either deferred or computed with open-task awareness ("snapshot at count start" logic).</t>
        </is>
      </c>
      <c r="G82" s="18" t="inlineStr">
        <is>
          <t>Rule/requirement enforced as stated (positive + negative case)</t>
        </is>
      </c>
      <c r="H82" s="18" t="inlineStr">
        <is>
          <t>M</t>
        </is>
      </c>
      <c r="I82" s="18" t="n"/>
      <c r="J82" s="18" t="n"/>
      <c r="K82" s="18" t="inlineStr">
        <is>
          <t>TC-INV-004-01</t>
        </is>
      </c>
      <c r="L82" s="18" t="inlineStr">
        <is>
          <t>Functional (rule test harness + E2E scenario)</t>
        </is>
      </c>
      <c r="M82" s="18" t="inlineStr">
        <is>
          <t>SIT; UAT</t>
        </is>
      </c>
      <c r="N82" s="18" t="inlineStr">
        <is>
          <t>Not Started</t>
        </is>
      </c>
      <c r="O82" s="18" t="n"/>
      <c r="P82" s="18" t="n"/>
      <c r="Q82" s="18" t="inlineStr"/>
    </row>
    <row r="83">
      <c r="A83" s="18" t="inlineStr">
        <is>
          <t>INV-005</t>
        </is>
      </c>
      <c r="B83" s="18" t="inlineStr">
        <is>
          <t>Requirement</t>
        </is>
      </c>
      <c r="C83" s="18" t="inlineStr">
        <is>
          <t>Inventory Management</t>
        </is>
      </c>
      <c r="D83" s="18" t="inlineStr">
        <is>
          <t>6.4 System Rules</t>
        </is>
      </c>
      <c r="E83" s="18" t="inlineStr">
        <is>
          <t>docs/scope/04-functional-inventory.md</t>
        </is>
      </c>
      <c r="F83" s="18" t="inlineStr">
        <is>
          <t>Status changes on stock allocated to released orders require de-allocation first; system performs auto re-allocation.</t>
        </is>
      </c>
      <c r="G83" s="18" t="inlineStr">
        <is>
          <t>Rule/requirement enforced as stated (positive + negative case)</t>
        </is>
      </c>
      <c r="H83" s="18" t="inlineStr">
        <is>
          <t>M</t>
        </is>
      </c>
      <c r="I83" s="18" t="n"/>
      <c r="J83" s="18" t="n"/>
      <c r="K83" s="18" t="inlineStr">
        <is>
          <t>TC-INV-005-01</t>
        </is>
      </c>
      <c r="L83" s="18" t="inlineStr">
        <is>
          <t>Functional (rule test harness + E2E scenario)</t>
        </is>
      </c>
      <c r="M83" s="18" t="inlineStr">
        <is>
          <t>SIT; UAT</t>
        </is>
      </c>
      <c r="N83" s="18" t="inlineStr">
        <is>
          <t>Not Started</t>
        </is>
      </c>
      <c r="O83" s="18" t="n"/>
      <c r="P83" s="18" t="n"/>
      <c r="Q83" s="18" t="inlineStr"/>
    </row>
    <row r="84">
      <c r="A84" s="18" t="inlineStr">
        <is>
          <t>INV-006</t>
        </is>
      </c>
      <c r="B84" s="18" t="inlineStr">
        <is>
          <t>Requirement</t>
        </is>
      </c>
      <c r="C84" s="18" t="inlineStr">
        <is>
          <t>Inventory Management</t>
        </is>
      </c>
      <c r="D84" s="18" t="inlineStr">
        <is>
          <t>6.4 System Rules</t>
        </is>
      </c>
      <c r="E84" s="18" t="inlineStr">
        <is>
          <t>docs/scope/04-functional-inventory.md</t>
        </is>
      </c>
      <c r="F84" s="18" t="inlineStr">
        <is>
          <t>Every inventory transaction captures: user, device, timestamp (UTC), before/after qty, reason, source document, correlation ID for ERP message.</t>
        </is>
      </c>
      <c r="G84" s="18" t="inlineStr">
        <is>
          <t>Rule/requirement enforced as stated (positive + negative case)</t>
        </is>
      </c>
      <c r="H84" s="18" t="inlineStr">
        <is>
          <t>M</t>
        </is>
      </c>
      <c r="I84" s="18" t="n"/>
      <c r="J84" s="18" t="n"/>
      <c r="K84" s="18" t="inlineStr">
        <is>
          <t>TC-INV-006-01</t>
        </is>
      </c>
      <c r="L84" s="18" t="inlineStr">
        <is>
          <t>Functional (rule test harness + E2E scenario)</t>
        </is>
      </c>
      <c r="M84" s="18" t="inlineStr">
        <is>
          <t>SIT; UAT</t>
        </is>
      </c>
      <c r="N84" s="18" t="inlineStr">
        <is>
          <t>Not Started</t>
        </is>
      </c>
      <c r="O84" s="18" t="n"/>
      <c r="P84" s="18" t="n"/>
      <c r="Q84" s="18" t="inlineStr"/>
    </row>
    <row r="85">
      <c r="A85" s="18" t="inlineStr">
        <is>
          <t>INV-007</t>
        </is>
      </c>
      <c r="B85" s="18" t="inlineStr">
        <is>
          <t>Requirement</t>
        </is>
      </c>
      <c r="C85" s="18" t="inlineStr">
        <is>
          <t>Inventory Management</t>
        </is>
      </c>
      <c r="D85" s="18" t="inlineStr">
        <is>
          <t>6.4 System Rules</t>
        </is>
      </c>
      <c r="E85" s="18" t="inlineStr">
        <is>
          <t>docs/scope/04-functional-inventory.md</t>
        </is>
      </c>
      <c r="F85" s="18" t="inlineStr">
        <is>
          <t>Expiry monitor: nightly job moves expired lots to EXPIRED and generates ERP status change; pre-expiry alerts at configurable days.</t>
        </is>
      </c>
      <c r="G85" s="18" t="inlineStr">
        <is>
          <t>Rule/requirement enforced as stated (positive + negative case)</t>
        </is>
      </c>
      <c r="H85" s="18" t="inlineStr">
        <is>
          <t>M</t>
        </is>
      </c>
      <c r="I85" s="18" t="n"/>
      <c r="J85" s="18" t="n"/>
      <c r="K85" s="18" t="inlineStr">
        <is>
          <t>TC-INV-007-01</t>
        </is>
      </c>
      <c r="L85" s="18" t="inlineStr">
        <is>
          <t>Functional (rule test harness + E2E scenario)</t>
        </is>
      </c>
      <c r="M85" s="18" t="inlineStr">
        <is>
          <t>SIT; UAT</t>
        </is>
      </c>
      <c r="N85" s="18" t="inlineStr">
        <is>
          <t>Not Started</t>
        </is>
      </c>
      <c r="O85" s="18" t="n"/>
      <c r="P85" s="18" t="n"/>
      <c r="Q85" s="18" t="inlineStr"/>
    </row>
    <row r="86">
      <c r="A86" s="18" t="inlineStr">
        <is>
          <t>INV-008</t>
        </is>
      </c>
      <c r="B86" s="18" t="inlineStr">
        <is>
          <t>Requirement</t>
        </is>
      </c>
      <c r="C86" s="18" t="inlineStr">
        <is>
          <t>Inventory Management</t>
        </is>
      </c>
      <c r="D86" s="18" t="inlineStr">
        <is>
          <t>6.4 System Rules</t>
        </is>
      </c>
      <c r="E86" s="18" t="inlineStr">
        <is>
          <t>docs/scope/04-functional-inventory.md</t>
        </is>
      </c>
      <c r="F86" s="18" t="inlineStr">
        <is>
          <t>Segregation of duties: a user who counted cannot approve their own variance.</t>
        </is>
      </c>
      <c r="G86" s="18" t="inlineStr">
        <is>
          <t>Rule/requirement enforced as stated (positive + negative case)</t>
        </is>
      </c>
      <c r="H86" s="18" t="inlineStr">
        <is>
          <t>M</t>
        </is>
      </c>
      <c r="I86" s="18" t="n"/>
      <c r="J86" s="18" t="n"/>
      <c r="K86" s="18" t="inlineStr">
        <is>
          <t>TC-INV-008-01</t>
        </is>
      </c>
      <c r="L86" s="18" t="inlineStr">
        <is>
          <t>Functional (rule test harness + E2E scenario)</t>
        </is>
      </c>
      <c r="M86" s="18" t="inlineStr">
        <is>
          <t>SIT; UAT</t>
        </is>
      </c>
      <c r="N86" s="18" t="inlineStr">
        <is>
          <t>Not Started</t>
        </is>
      </c>
      <c r="O86" s="18" t="n"/>
      <c r="P86" s="18" t="n"/>
      <c r="Q86" s="18" t="inlineStr"/>
    </row>
    <row r="87">
      <c r="A87" s="18" t="inlineStr">
        <is>
          <t>INV-EX-01</t>
        </is>
      </c>
      <c r="B87" s="18" t="inlineStr">
        <is>
          <t>Exception</t>
        </is>
      </c>
      <c r="C87" s="18" t="inlineStr">
        <is>
          <t>Inventory Management</t>
        </is>
      </c>
      <c r="D87" s="18" t="inlineStr">
        <is>
          <t>6.5 Exception Handling</t>
        </is>
      </c>
      <c r="E87" s="18" t="inlineStr">
        <is>
          <t>docs/scope/04-functional-inventory.md</t>
        </is>
      </c>
      <c r="F87" s="18" t="inlineStr">
        <is>
          <t>ERP↔WMS stock variance at reconciliation</t>
        </is>
      </c>
      <c r="G87" s="18" t="inlineStr">
        <is>
          <t>Resolution: Reconciliation workbench (§D.6.4): classify (timing, failed message, genuine); re-post or adjust</t>
        </is>
      </c>
      <c r="H87" s="18" t="inlineStr">
        <is>
          <t>M</t>
        </is>
      </c>
      <c r="I87" s="18" t="n"/>
      <c r="J87" s="18" t="n"/>
      <c r="K87" s="18" t="inlineStr">
        <is>
          <t>TC-INV-EX-01-01</t>
        </is>
      </c>
      <c r="L87" s="18" t="inlineStr">
        <is>
          <t>Negative / exception scenario</t>
        </is>
      </c>
      <c r="M87" s="18" t="inlineStr">
        <is>
          <t>SIT; UAT</t>
        </is>
      </c>
      <c r="N87" s="18" t="inlineStr">
        <is>
          <t>Not Started</t>
        </is>
      </c>
      <c r="O87" s="18" t="n"/>
      <c r="P87" s="18" t="n"/>
      <c r="Q87" s="18" t="inlineStr">
        <is>
          <t>Priority defaulted to M (exception flow; see Legend)</t>
        </is>
      </c>
    </row>
    <row r="88">
      <c r="A88" s="18" t="inlineStr">
        <is>
          <t>INV-EX-02</t>
        </is>
      </c>
      <c r="B88" s="18" t="inlineStr">
        <is>
          <t>Exception</t>
        </is>
      </c>
      <c r="C88" s="18" t="inlineStr">
        <is>
          <t>Inventory Management</t>
        </is>
      </c>
      <c r="D88" s="18" t="inlineStr">
        <is>
          <t>6.5 Exception Handling</t>
        </is>
      </c>
      <c r="E88" s="18" t="inlineStr">
        <is>
          <t>docs/scope/04-functional-inventory.md</t>
        </is>
      </c>
      <c r="F88" s="18" t="inlineStr">
        <is>
          <t>Found stock (no system record)</t>
        </is>
      </c>
      <c r="G88" s="18" t="inlineStr">
        <is>
          <t>Resolution: Receive into FOUND status via adjustment; investigate mis-putaway; ERP positive adjustment post-approval</t>
        </is>
      </c>
      <c r="H88" s="18" t="inlineStr">
        <is>
          <t>M</t>
        </is>
      </c>
      <c r="I88" s="18" t="n"/>
      <c r="J88" s="18" t="n"/>
      <c r="K88" s="18" t="inlineStr">
        <is>
          <t>TC-INV-EX-02-01</t>
        </is>
      </c>
      <c r="L88" s="18" t="inlineStr">
        <is>
          <t>Negative / exception scenario</t>
        </is>
      </c>
      <c r="M88" s="18" t="inlineStr">
        <is>
          <t>SIT; UAT</t>
        </is>
      </c>
      <c r="N88" s="18" t="inlineStr">
        <is>
          <t>Not Started</t>
        </is>
      </c>
      <c r="O88" s="18" t="n"/>
      <c r="P88" s="18" t="n"/>
      <c r="Q88" s="18" t="inlineStr">
        <is>
          <t>Priority defaulted to M (exception flow; see Legend)</t>
        </is>
      </c>
    </row>
    <row r="89">
      <c r="A89" s="18" t="inlineStr">
        <is>
          <t>INV-EX-03</t>
        </is>
      </c>
      <c r="B89" s="18" t="inlineStr">
        <is>
          <t>Exception</t>
        </is>
      </c>
      <c r="C89" s="18" t="inlineStr">
        <is>
          <t>Inventory Management</t>
        </is>
      </c>
      <c r="D89" s="18" t="inlineStr">
        <is>
          <t>6.5 Exception Handling</t>
        </is>
      </c>
      <c r="E89" s="18" t="inlineStr">
        <is>
          <t>docs/scope/04-functional-inventory.md</t>
        </is>
      </c>
      <c r="F89" s="18" t="inlineStr">
        <is>
          <t>Serial mismatch at count</t>
        </is>
      </c>
      <c r="G89" s="18" t="inlineStr">
        <is>
          <t>Resolution: Serial exception report; hold serial; investigation</t>
        </is>
      </c>
      <c r="H89" s="18" t="inlineStr">
        <is>
          <t>M</t>
        </is>
      </c>
      <c r="I89" s="18" t="n"/>
      <c r="J89" s="18" t="n"/>
      <c r="K89" s="18" t="inlineStr">
        <is>
          <t>TC-INV-EX-03-01</t>
        </is>
      </c>
      <c r="L89" s="18" t="inlineStr">
        <is>
          <t>Negative / exception scenario</t>
        </is>
      </c>
      <c r="M89" s="18" t="inlineStr">
        <is>
          <t>SIT; UAT</t>
        </is>
      </c>
      <c r="N89" s="18" t="inlineStr">
        <is>
          <t>Not Started</t>
        </is>
      </c>
      <c r="O89" s="18" t="n"/>
      <c r="P89" s="18" t="n"/>
      <c r="Q89" s="18" t="inlineStr">
        <is>
          <t>Priority defaulted to M (exception flow; see Legend)</t>
        </is>
      </c>
    </row>
    <row r="90">
      <c r="A90" s="18" t="inlineStr">
        <is>
          <t>INV-EX-04</t>
        </is>
      </c>
      <c r="B90" s="18" t="inlineStr">
        <is>
          <t>Exception</t>
        </is>
      </c>
      <c r="C90" s="18" t="inlineStr">
        <is>
          <t>Inventory Management</t>
        </is>
      </c>
      <c r="D90" s="18" t="inlineStr">
        <is>
          <t>6.5 Exception Handling</t>
        </is>
      </c>
      <c r="E90" s="18" t="inlineStr">
        <is>
          <t>docs/scope/04-functional-inventory.md</t>
        </is>
      </c>
      <c r="F90" s="18" t="inlineStr">
        <is>
          <t>Count exceeds approval threshold</t>
        </is>
      </c>
      <c r="G90" s="18" t="inlineStr">
        <is>
          <t>Resolution: Escalation workflow with SLA timer</t>
        </is>
      </c>
      <c r="H90" s="18" t="inlineStr">
        <is>
          <t>M</t>
        </is>
      </c>
      <c r="I90" s="18" t="n"/>
      <c r="J90" s="18" t="n"/>
      <c r="K90" s="18" t="inlineStr">
        <is>
          <t>TC-INV-EX-04-01</t>
        </is>
      </c>
      <c r="L90" s="18" t="inlineStr">
        <is>
          <t>Negative / exception scenario</t>
        </is>
      </c>
      <c r="M90" s="18" t="inlineStr">
        <is>
          <t>SIT; UAT</t>
        </is>
      </c>
      <c r="N90" s="18" t="inlineStr">
        <is>
          <t>Not Started</t>
        </is>
      </c>
      <c r="O90" s="18" t="n"/>
      <c r="P90" s="18" t="n"/>
      <c r="Q90" s="18" t="inlineStr">
        <is>
          <t>Priority defaulted to M (exception flow; see Legend)</t>
        </is>
      </c>
    </row>
    <row r="91">
      <c r="A91" s="18" t="inlineStr">
        <is>
          <t>RPL-001</t>
        </is>
      </c>
      <c r="B91" s="18" t="inlineStr">
        <is>
          <t>Requirement</t>
        </is>
      </c>
      <c r="C91" s="18" t="inlineStr">
        <is>
          <t>Replenishment</t>
        </is>
      </c>
      <c r="D91" s="18" t="inlineStr">
        <is>
          <t>7.3 System Rules</t>
        </is>
      </c>
      <c r="E91" s="18" t="inlineStr">
        <is>
          <t>docs/scope/04-functional-inventory.md</t>
        </is>
      </c>
      <c r="F91" s="18" t="inlineStr">
        <is>
          <t>Replenishment respects FEFO/FIFO so that the forward location does not receive newer stock while older stock remains in reserve (optional "lot homogeneity" at forward pick).</t>
        </is>
      </c>
      <c r="G91" s="18" t="inlineStr">
        <is>
          <t>Rule/requirement enforced as stated (positive + negative case)</t>
        </is>
      </c>
      <c r="H91" s="18" t="inlineStr">
        <is>
          <t>M</t>
        </is>
      </c>
      <c r="I91" s="18" t="n"/>
      <c r="J91" s="18" t="n"/>
      <c r="K91" s="18" t="inlineStr">
        <is>
          <t>TC-RPL-001-01</t>
        </is>
      </c>
      <c r="L91" s="18" t="inlineStr">
        <is>
          <t>Functional (rule test harness + E2E scenario)</t>
        </is>
      </c>
      <c r="M91" s="18" t="inlineStr">
        <is>
          <t>SIT; UAT</t>
        </is>
      </c>
      <c r="N91" s="18" t="inlineStr">
        <is>
          <t>Not Started</t>
        </is>
      </c>
      <c r="O91" s="18" t="n"/>
      <c r="P91" s="18" t="n"/>
      <c r="Q91" s="18" t="inlineStr"/>
    </row>
    <row r="92">
      <c r="A92" s="18" t="inlineStr">
        <is>
          <t>RPL-002</t>
        </is>
      </c>
      <c r="B92" s="18" t="inlineStr">
        <is>
          <t>Requirement</t>
        </is>
      </c>
      <c r="C92" s="18" t="inlineStr">
        <is>
          <t>Replenishment</t>
        </is>
      </c>
      <c r="D92" s="18" t="inlineStr">
        <is>
          <t>7.3 System Rules</t>
        </is>
      </c>
      <c r="E92" s="18" t="inlineStr">
        <is>
          <t>docs/scope/04-functional-inventory.md</t>
        </is>
      </c>
      <c r="F92" s="18" t="inlineStr">
        <is>
          <t>Replen priority dynamically increases when dependent pick tasks exist; emergency &gt; wave-driven &gt; min/max &gt; top-off.</t>
        </is>
      </c>
      <c r="G92" s="18" t="inlineStr">
        <is>
          <t>Rule/requirement enforced as stated (positive + negative case)</t>
        </is>
      </c>
      <c r="H92" s="18" t="inlineStr">
        <is>
          <t>M</t>
        </is>
      </c>
      <c r="I92" s="18" t="n"/>
      <c r="J92" s="18" t="n"/>
      <c r="K92" s="18" t="inlineStr">
        <is>
          <t>TC-RPL-002-01</t>
        </is>
      </c>
      <c r="L92" s="18" t="inlineStr">
        <is>
          <t>Functional (rule test harness + E2E scenario)</t>
        </is>
      </c>
      <c r="M92" s="18" t="inlineStr">
        <is>
          <t>SIT; UAT</t>
        </is>
      </c>
      <c r="N92" s="18" t="inlineStr">
        <is>
          <t>Not Started</t>
        </is>
      </c>
      <c r="O92" s="18" t="n"/>
      <c r="P92" s="18" t="n"/>
      <c r="Q92" s="18" t="inlineStr"/>
    </row>
    <row r="93">
      <c r="A93" s="18" t="inlineStr">
        <is>
          <t>RPL-003</t>
        </is>
      </c>
      <c r="B93" s="18" t="inlineStr">
        <is>
          <t>Requirement</t>
        </is>
      </c>
      <c r="C93" s="18" t="inlineStr">
        <is>
          <t>Replenishment</t>
        </is>
      </c>
      <c r="D93" s="18" t="inlineStr">
        <is>
          <t>7.3 System Rules</t>
        </is>
      </c>
      <c r="E93" s="18" t="inlineStr">
        <is>
          <t>docs/scope/04-functional-inventory.md</t>
        </is>
      </c>
      <c r="F93" s="18" t="inlineStr">
        <is>
          <t>Overflow at forward location: excess returns to reserve or goes to overflow location adjacent.</t>
        </is>
      </c>
      <c r="G93" s="18" t="inlineStr">
        <is>
          <t>Rule/requirement enforced as stated (positive + negative case)</t>
        </is>
      </c>
      <c r="H93" s="18" t="inlineStr">
        <is>
          <t>S</t>
        </is>
      </c>
      <c r="I93" s="18" t="n"/>
      <c r="J93" s="18" t="n"/>
      <c r="K93" s="18" t="inlineStr">
        <is>
          <t>TC-RPL-003-01</t>
        </is>
      </c>
      <c r="L93" s="18" t="inlineStr">
        <is>
          <t>Functional (rule test harness + E2E scenario)</t>
        </is>
      </c>
      <c r="M93" s="18" t="inlineStr">
        <is>
          <t>SIT; UAT</t>
        </is>
      </c>
      <c r="N93" s="18" t="inlineStr">
        <is>
          <t>Not Started</t>
        </is>
      </c>
      <c r="O93" s="18" t="n"/>
      <c r="P93" s="18" t="n"/>
      <c r="Q93" s="18" t="inlineStr"/>
    </row>
    <row r="94">
      <c r="A94" s="18" t="inlineStr">
        <is>
          <t>RPL-004</t>
        </is>
      </c>
      <c r="B94" s="18" t="inlineStr">
        <is>
          <t>Requirement</t>
        </is>
      </c>
      <c r="C94" s="18" t="inlineStr">
        <is>
          <t>Replenishment</t>
        </is>
      </c>
      <c r="D94" s="18" t="inlineStr">
        <is>
          <t>7.3 System Rules</t>
        </is>
      </c>
      <c r="E94" s="18" t="inlineStr">
        <is>
          <t>docs/scope/04-functional-inventory.md</t>
        </is>
      </c>
      <c r="F94" s="18" t="inlineStr">
        <is>
          <t>Replenishment must complete X minutes before dependent pick release (wave lead-time setting).</t>
        </is>
      </c>
      <c r="G94" s="18" t="inlineStr">
        <is>
          <t>Rule/requirement enforced as stated (positive + negative case)</t>
        </is>
      </c>
      <c r="H94" s="18" t="inlineStr">
        <is>
          <t>S</t>
        </is>
      </c>
      <c r="I94" s="18" t="n"/>
      <c r="J94" s="18" t="n"/>
      <c r="K94" s="18" t="inlineStr">
        <is>
          <t>TC-RPL-004-01</t>
        </is>
      </c>
      <c r="L94" s="18" t="inlineStr">
        <is>
          <t>Functional (rule test harness + E2E scenario)</t>
        </is>
      </c>
      <c r="M94" s="18" t="inlineStr">
        <is>
          <t>SIT; UAT</t>
        </is>
      </c>
      <c r="N94" s="18" t="inlineStr">
        <is>
          <t>Not Started</t>
        </is>
      </c>
      <c r="O94" s="18" t="n"/>
      <c r="P94" s="18" t="n"/>
      <c r="Q94" s="18" t="inlineStr"/>
    </row>
    <row r="95">
      <c r="A95" s="18" t="inlineStr">
        <is>
          <t>RPL-005</t>
        </is>
      </c>
      <c r="B95" s="18" t="inlineStr">
        <is>
          <t>Requirement</t>
        </is>
      </c>
      <c r="C95" s="18" t="inlineStr">
        <is>
          <t>Replenishment</t>
        </is>
      </c>
      <c r="D95" s="18" t="inlineStr">
        <is>
          <t>7.3 System Rules</t>
        </is>
      </c>
      <c r="E95" s="18" t="inlineStr">
        <is>
          <t>docs/scope/04-functional-inventory.md</t>
        </is>
      </c>
      <c r="F95" s="18" t="inlineStr">
        <is>
          <t>Min/max parameters recalculated by the slotting engine weekly from velocity (days-of-cover model), subject to approval.</t>
        </is>
      </c>
      <c r="G95" s="18" t="inlineStr">
        <is>
          <t>Rule/requirement enforced as stated (positive + negative case)</t>
        </is>
      </c>
      <c r="H95" s="18" t="inlineStr">
        <is>
          <t>S</t>
        </is>
      </c>
      <c r="I95" s="18" t="n"/>
      <c r="J95" s="18" t="n"/>
      <c r="K95" s="18" t="inlineStr">
        <is>
          <t>TC-RPL-005-01</t>
        </is>
      </c>
      <c r="L95" s="18" t="inlineStr">
        <is>
          <t>Functional (rule test harness + E2E scenario)</t>
        </is>
      </c>
      <c r="M95" s="18" t="inlineStr">
        <is>
          <t>SIT; UAT</t>
        </is>
      </c>
      <c r="N95" s="18" t="inlineStr">
        <is>
          <t>Not Started</t>
        </is>
      </c>
      <c r="O95" s="18" t="n"/>
      <c r="P95" s="18" t="n"/>
      <c r="Q95" s="18" t="inlineStr"/>
    </row>
    <row r="96">
      <c r="A96" s="18" t="inlineStr">
        <is>
          <t>RPL-EX-01</t>
        </is>
      </c>
      <c r="B96" s="18" t="inlineStr">
        <is>
          <t>Exception</t>
        </is>
      </c>
      <c r="C96" s="18" t="inlineStr">
        <is>
          <t>Replenishment</t>
        </is>
      </c>
      <c r="D96" s="18" t="inlineStr">
        <is>
          <t>7.4 Exception Handling</t>
        </is>
      </c>
      <c r="E96" s="18" t="inlineStr">
        <is>
          <t>docs/scope/04-functional-inventory.md</t>
        </is>
      </c>
      <c r="F96" s="18" t="inlineStr">
        <is>
          <t>No reserve stock</t>
        </is>
      </c>
      <c r="G96" s="18" t="inlineStr">
        <is>
          <t>Resolution: Short in forward → pick shorts → backorder; purchase signal report to ERP planner</t>
        </is>
      </c>
      <c r="H96" s="18" t="inlineStr">
        <is>
          <t>M</t>
        </is>
      </c>
      <c r="I96" s="18" t="n"/>
      <c r="J96" s="18" t="n"/>
      <c r="K96" s="18" t="inlineStr">
        <is>
          <t>TC-RPL-EX-01-01</t>
        </is>
      </c>
      <c r="L96" s="18" t="inlineStr">
        <is>
          <t>Negative / exception scenario</t>
        </is>
      </c>
      <c r="M96" s="18" t="inlineStr">
        <is>
          <t>SIT; UAT</t>
        </is>
      </c>
      <c r="N96" s="18" t="inlineStr">
        <is>
          <t>Not Started</t>
        </is>
      </c>
      <c r="O96" s="18" t="n"/>
      <c r="P96" s="18" t="n"/>
      <c r="Q96" s="18" t="inlineStr">
        <is>
          <t>Priority defaulted to M (exception flow; see Legend)</t>
        </is>
      </c>
    </row>
    <row r="97">
      <c r="A97" s="18" t="inlineStr">
        <is>
          <t>RPL-EX-02</t>
        </is>
      </c>
      <c r="B97" s="18" t="inlineStr">
        <is>
          <t>Exception</t>
        </is>
      </c>
      <c r="C97" s="18" t="inlineStr">
        <is>
          <t>Replenishment</t>
        </is>
      </c>
      <c r="D97" s="18" t="inlineStr">
        <is>
          <t>7.4 Exception Handling</t>
        </is>
      </c>
      <c r="E97" s="18" t="inlineStr">
        <is>
          <t>docs/scope/04-functional-inventory.md</t>
        </is>
      </c>
      <c r="F97" s="18" t="inlineStr">
        <is>
          <t>Reserve LPN short</t>
        </is>
      </c>
      <c r="G97" s="18" t="inlineStr">
        <is>
          <t>Resolution: Count task on reserve; re-source</t>
        </is>
      </c>
      <c r="H97" s="18" t="inlineStr">
        <is>
          <t>M</t>
        </is>
      </c>
      <c r="I97" s="18" t="n"/>
      <c r="J97" s="18" t="n"/>
      <c r="K97" s="18" t="inlineStr">
        <is>
          <t>TC-RPL-EX-02-01</t>
        </is>
      </c>
      <c r="L97" s="18" t="inlineStr">
        <is>
          <t>Negative / exception scenario</t>
        </is>
      </c>
      <c r="M97" s="18" t="inlineStr">
        <is>
          <t>SIT; UAT</t>
        </is>
      </c>
      <c r="N97" s="18" t="inlineStr">
        <is>
          <t>Not Started</t>
        </is>
      </c>
      <c r="O97" s="18" t="n"/>
      <c r="P97" s="18" t="n"/>
      <c r="Q97" s="18" t="inlineStr">
        <is>
          <t>Priority defaulted to M (exception flow; see Legend)</t>
        </is>
      </c>
    </row>
    <row r="98">
      <c r="A98" s="18" t="inlineStr">
        <is>
          <t>RPL-EX-03</t>
        </is>
      </c>
      <c r="B98" s="18" t="inlineStr">
        <is>
          <t>Exception</t>
        </is>
      </c>
      <c r="C98" s="18" t="inlineStr">
        <is>
          <t>Replenishment</t>
        </is>
      </c>
      <c r="D98" s="18" t="inlineStr">
        <is>
          <t>7.4 Exception Handling</t>
        </is>
      </c>
      <c r="E98" s="18" t="inlineStr">
        <is>
          <t>docs/scope/04-functional-inventory.md</t>
        </is>
      </c>
      <c r="F98" s="18" t="inlineStr">
        <is>
          <t>Forward location full / mis-slotted item present</t>
        </is>
      </c>
      <c r="G98" s="18" t="inlineStr">
        <is>
          <t>Resolution: Location exception; count; relocation task</t>
        </is>
      </c>
      <c r="H98" s="18" t="inlineStr">
        <is>
          <t>M</t>
        </is>
      </c>
      <c r="I98" s="18" t="n"/>
      <c r="J98" s="18" t="n"/>
      <c r="K98" s="18" t="inlineStr">
        <is>
          <t>TC-RPL-EX-03-01</t>
        </is>
      </c>
      <c r="L98" s="18" t="inlineStr">
        <is>
          <t>Negative / exception scenario</t>
        </is>
      </c>
      <c r="M98" s="18" t="inlineStr">
        <is>
          <t>SIT; UAT</t>
        </is>
      </c>
      <c r="N98" s="18" t="inlineStr">
        <is>
          <t>Not Started</t>
        </is>
      </c>
      <c r="O98" s="18" t="n"/>
      <c r="P98" s="18" t="n"/>
      <c r="Q98" s="18" t="inlineStr">
        <is>
          <t>Priority defaulted to M (exception flow; see Legend)</t>
        </is>
      </c>
    </row>
    <row r="99">
      <c r="A99" s="18" t="inlineStr">
        <is>
          <t>RET-001</t>
        </is>
      </c>
      <c r="B99" s="18" t="inlineStr">
        <is>
          <t>Requirement</t>
        </is>
      </c>
      <c r="C99" s="18" t="inlineStr">
        <is>
          <t>Returns</t>
        </is>
      </c>
      <c r="D99" s="18" t="inlineStr">
        <is>
          <t>8.4 System Rules</t>
        </is>
      </c>
      <c r="E99" s="18" t="inlineStr">
        <is>
          <t>docs/scope/04-functional-inventory.md</t>
        </is>
      </c>
      <c r="F99" s="18" t="inlineStr">
        <is>
          <t>Serial returned must match a serial previously shipped to that customer; mismatches flag potential fraud.</t>
        </is>
      </c>
      <c r="G99" s="18" t="inlineStr">
        <is>
          <t>Rule/requirement enforced as stated (positive + negative case)</t>
        </is>
      </c>
      <c r="H99" s="18" t="inlineStr">
        <is>
          <t>M</t>
        </is>
      </c>
      <c r="I99" s="18" t="n"/>
      <c r="J99" s="18" t="n"/>
      <c r="K99" s="18" t="inlineStr">
        <is>
          <t>TC-RET-001-01</t>
        </is>
      </c>
      <c r="L99" s="18" t="inlineStr">
        <is>
          <t>Functional (rule test harness + E2E scenario)</t>
        </is>
      </c>
      <c r="M99" s="18" t="inlineStr">
        <is>
          <t>SIT; UAT</t>
        </is>
      </c>
      <c r="N99" s="18" t="inlineStr">
        <is>
          <t>Not Started</t>
        </is>
      </c>
      <c r="O99" s="18" t="n"/>
      <c r="P99" s="18" t="n"/>
      <c r="Q99" s="18" t="inlineStr"/>
    </row>
    <row r="100">
      <c r="A100" s="18" t="inlineStr">
        <is>
          <t>RET-002</t>
        </is>
      </c>
      <c r="B100" s="18" t="inlineStr">
        <is>
          <t>Requirement</t>
        </is>
      </c>
      <c r="C100" s="18" t="inlineStr">
        <is>
          <t>Returns</t>
        </is>
      </c>
      <c r="D100" s="18" t="inlineStr">
        <is>
          <t>8.4 System Rules</t>
        </is>
      </c>
      <c r="E100" s="18" t="inlineStr">
        <is>
          <t>docs/scope/04-functional-inventory.md</t>
        </is>
      </c>
      <c r="F100" s="18" t="inlineStr">
        <is>
          <t>Returned quantity &gt; RMA quantity requires override.</t>
        </is>
      </c>
      <c r="G100" s="18" t="inlineStr">
        <is>
          <t>Rule/requirement enforced as stated (positive + negative case)</t>
        </is>
      </c>
      <c r="H100" s="18" t="inlineStr">
        <is>
          <t>M</t>
        </is>
      </c>
      <c r="I100" s="18" t="n"/>
      <c r="J100" s="18" t="n"/>
      <c r="K100" s="18" t="inlineStr">
        <is>
          <t>TC-RET-002-01</t>
        </is>
      </c>
      <c r="L100" s="18" t="inlineStr">
        <is>
          <t>Functional (rule test harness + E2E scenario)</t>
        </is>
      </c>
      <c r="M100" s="18" t="inlineStr">
        <is>
          <t>SIT; UAT</t>
        </is>
      </c>
      <c r="N100" s="18" t="inlineStr">
        <is>
          <t>Not Started</t>
        </is>
      </c>
      <c r="O100" s="18" t="n"/>
      <c r="P100" s="18" t="n"/>
      <c r="Q100" s="18" t="inlineStr"/>
    </row>
    <row r="101">
      <c r="A101" s="18" t="inlineStr">
        <is>
          <t>RET-003</t>
        </is>
      </c>
      <c r="B101" s="18" t="inlineStr">
        <is>
          <t>Requirement</t>
        </is>
      </c>
      <c r="C101" s="18" t="inlineStr">
        <is>
          <t>Returns</t>
        </is>
      </c>
      <c r="D101" s="18" t="inlineStr">
        <is>
          <t>8.4 System Rules</t>
        </is>
      </c>
      <c r="E101" s="18" t="inlineStr">
        <is>
          <t>docs/scope/04-functional-inventory.md</t>
        </is>
      </c>
      <c r="F101" s="18" t="inlineStr">
        <is>
          <t>Regulated products (pharma, food) default to non-saleable unless QA release.</t>
        </is>
      </c>
      <c r="G101" s="18" t="inlineStr">
        <is>
          <t>Rule/requirement enforced as stated (positive + negative case)</t>
        </is>
      </c>
      <c r="H101" s="18" t="inlineStr">
        <is>
          <t>M</t>
        </is>
      </c>
      <c r="I101" s="18" t="n"/>
      <c r="J101" s="18" t="n"/>
      <c r="K101" s="18" t="inlineStr">
        <is>
          <t>TC-RET-003-01</t>
        </is>
      </c>
      <c r="L101" s="18" t="inlineStr">
        <is>
          <t>Functional (rule test harness + E2E scenario)</t>
        </is>
      </c>
      <c r="M101" s="18" t="inlineStr">
        <is>
          <t>SIT; UAT</t>
        </is>
      </c>
      <c r="N101" s="18" t="inlineStr">
        <is>
          <t>Not Started</t>
        </is>
      </c>
      <c r="O101" s="18" t="n"/>
      <c r="P101" s="18" t="n"/>
      <c r="Q101" s="18" t="inlineStr"/>
    </row>
    <row r="102">
      <c r="A102" s="18" t="inlineStr">
        <is>
          <t>RET-004</t>
        </is>
      </c>
      <c r="B102" s="18" t="inlineStr">
        <is>
          <t>Requirement</t>
        </is>
      </c>
      <c r="C102" s="18" t="inlineStr">
        <is>
          <t>Returns</t>
        </is>
      </c>
      <c r="D102" s="18" t="inlineStr">
        <is>
          <t>8.4 System Rules</t>
        </is>
      </c>
      <c r="E102" s="18" t="inlineStr">
        <is>
          <t>docs/scope/04-functional-inventory.md</t>
        </is>
      </c>
      <c r="F102" s="18" t="inlineStr">
        <is>
          <t>Condition, reason, and disposition captured per unit and sent to ERP for credit decision.</t>
        </is>
      </c>
      <c r="G102" s="18" t="inlineStr">
        <is>
          <t>Rule/requirement enforced as stated (positive + negative case)</t>
        </is>
      </c>
      <c r="H102" s="18" t="inlineStr">
        <is>
          <t>M</t>
        </is>
      </c>
      <c r="I102" s="18" t="n"/>
      <c r="J102" s="18" t="n"/>
      <c r="K102" s="18" t="inlineStr">
        <is>
          <t>TC-RET-004-01</t>
        </is>
      </c>
      <c r="L102" s="18" t="inlineStr">
        <is>
          <t>Functional (rule test harness + E2E scenario)</t>
        </is>
      </c>
      <c r="M102" s="18" t="inlineStr">
        <is>
          <t>SIT; UAT</t>
        </is>
      </c>
      <c r="N102" s="18" t="inlineStr">
        <is>
          <t>Not Started</t>
        </is>
      </c>
      <c r="O102" s="18" t="n"/>
      <c r="P102" s="18" t="n"/>
      <c r="Q102" s="18" t="inlineStr"/>
    </row>
    <row r="103">
      <c r="A103" s="18" t="inlineStr">
        <is>
          <t>RET-005</t>
        </is>
      </c>
      <c r="B103" s="18" t="inlineStr">
        <is>
          <t>Requirement</t>
        </is>
      </c>
      <c r="C103" s="18" t="inlineStr">
        <is>
          <t>Returns</t>
        </is>
      </c>
      <c r="D103" s="18" t="inlineStr">
        <is>
          <t>8.4 System Rules</t>
        </is>
      </c>
      <c r="E103" s="18" t="inlineStr">
        <is>
          <t>docs/scope/04-functional-inventory.md</t>
        </is>
      </c>
      <c r="F103" s="18" t="inlineStr">
        <is>
          <t>Photos attachable per unit (mandatory for grade C/D above value threshold).</t>
        </is>
      </c>
      <c r="G103" s="18" t="inlineStr">
        <is>
          <t>Rule/requirement enforced as stated (positive + negative case)</t>
        </is>
      </c>
      <c r="H103" s="18" t="inlineStr">
        <is>
          <t>S</t>
        </is>
      </c>
      <c r="I103" s="18" t="n"/>
      <c r="J103" s="18" t="n"/>
      <c r="K103" s="18" t="inlineStr">
        <is>
          <t>TC-RET-005-01</t>
        </is>
      </c>
      <c r="L103" s="18" t="inlineStr">
        <is>
          <t>Functional (rule test harness + E2E scenario)</t>
        </is>
      </c>
      <c r="M103" s="18" t="inlineStr">
        <is>
          <t>SIT; UAT</t>
        </is>
      </c>
      <c r="N103" s="18" t="inlineStr">
        <is>
          <t>Not Started</t>
        </is>
      </c>
      <c r="O103" s="18" t="n"/>
      <c r="P103" s="18" t="n"/>
      <c r="Q103" s="18" t="inlineStr"/>
    </row>
    <row r="104">
      <c r="A104" s="18" t="inlineStr">
        <is>
          <t>RET-006</t>
        </is>
      </c>
      <c r="B104" s="18" t="inlineStr">
        <is>
          <t>Requirement</t>
        </is>
      </c>
      <c r="C104" s="18" t="inlineStr">
        <is>
          <t>Returns</t>
        </is>
      </c>
      <c r="D104" s="18" t="inlineStr">
        <is>
          <t>8.4 System Rules</t>
        </is>
      </c>
      <c r="E104" s="18" t="inlineStr">
        <is>
          <t>docs/scope/04-functional-inventory.md</t>
        </is>
      </c>
      <c r="F104" s="18" t="inlineStr">
        <is>
          <t>RTV consolidation per vendor with RTV authorisation number required before shipment.</t>
        </is>
      </c>
      <c r="G104" s="18" t="inlineStr">
        <is>
          <t>Rule/requirement enforced as stated (positive + negative case)</t>
        </is>
      </c>
      <c r="H104" s="18" t="inlineStr">
        <is>
          <t>S</t>
        </is>
      </c>
      <c r="I104" s="18" t="n"/>
      <c r="J104" s="18" t="n"/>
      <c r="K104" s="18" t="inlineStr">
        <is>
          <t>TC-RET-006-01</t>
        </is>
      </c>
      <c r="L104" s="18" t="inlineStr">
        <is>
          <t>Functional (rule test harness + E2E scenario)</t>
        </is>
      </c>
      <c r="M104" s="18" t="inlineStr">
        <is>
          <t>SIT; UAT</t>
        </is>
      </c>
      <c r="N104" s="18" t="inlineStr">
        <is>
          <t>Not Started</t>
        </is>
      </c>
      <c r="O104" s="18" t="n"/>
      <c r="P104" s="18" t="n"/>
      <c r="Q104" s="18" t="inlineStr"/>
    </row>
    <row r="105">
      <c r="A105" s="18" t="inlineStr">
        <is>
          <t>RET-EX-01</t>
        </is>
      </c>
      <c r="B105" s="18" t="inlineStr">
        <is>
          <t>Exception</t>
        </is>
      </c>
      <c r="C105" s="18" t="inlineStr">
        <is>
          <t>Returns</t>
        </is>
      </c>
      <c r="D105" s="18" t="inlineStr">
        <is>
          <t>8.5 Exception Handling</t>
        </is>
      </c>
      <c r="E105" s="18" t="inlineStr">
        <is>
          <t>docs/scope/04-functional-inventory.md</t>
        </is>
      </c>
      <c r="F105" s="18" t="inlineStr">
        <is>
          <t>No RMA / unidentifiable</t>
        </is>
      </c>
      <c r="G105" s="18" t="inlineStr">
        <is>
          <t>Resolution: Hold in returns problem-solve location with photo; customer service case</t>
        </is>
      </c>
      <c r="H105" s="18" t="inlineStr">
        <is>
          <t>M</t>
        </is>
      </c>
      <c r="I105" s="18" t="n"/>
      <c r="J105" s="18" t="n"/>
      <c r="K105" s="18" t="inlineStr">
        <is>
          <t>TC-RET-EX-01-01</t>
        </is>
      </c>
      <c r="L105" s="18" t="inlineStr">
        <is>
          <t>Negative / exception scenario</t>
        </is>
      </c>
      <c r="M105" s="18" t="inlineStr">
        <is>
          <t>SIT; UAT</t>
        </is>
      </c>
      <c r="N105" s="18" t="inlineStr">
        <is>
          <t>Not Started</t>
        </is>
      </c>
      <c r="O105" s="18" t="n"/>
      <c r="P105" s="18" t="n"/>
      <c r="Q105" s="18" t="inlineStr">
        <is>
          <t>Priority defaulted to M (exception flow; see Legend)</t>
        </is>
      </c>
    </row>
    <row r="106">
      <c r="A106" s="18" t="inlineStr">
        <is>
          <t>RET-EX-02</t>
        </is>
      </c>
      <c r="B106" s="18" t="inlineStr">
        <is>
          <t>Exception</t>
        </is>
      </c>
      <c r="C106" s="18" t="inlineStr">
        <is>
          <t>Returns</t>
        </is>
      </c>
      <c r="D106" s="18" t="inlineStr">
        <is>
          <t>8.5 Exception Handling</t>
        </is>
      </c>
      <c r="E106" s="18" t="inlineStr">
        <is>
          <t>docs/scope/04-functional-inventory.md</t>
        </is>
      </c>
      <c r="F106" s="18" t="inlineStr">
        <is>
          <t>Wrong item returned</t>
        </is>
      </c>
      <c r="G106" s="18" t="inlineStr">
        <is>
          <t>Resolution: Receive as actual item with flag; ERP notified for credit adjustment</t>
        </is>
      </c>
      <c r="H106" s="18" t="inlineStr">
        <is>
          <t>M</t>
        </is>
      </c>
      <c r="I106" s="18" t="n"/>
      <c r="J106" s="18" t="n"/>
      <c r="K106" s="18" t="inlineStr">
        <is>
          <t>TC-RET-EX-02-01</t>
        </is>
      </c>
      <c r="L106" s="18" t="inlineStr">
        <is>
          <t>Negative / exception scenario</t>
        </is>
      </c>
      <c r="M106" s="18" t="inlineStr">
        <is>
          <t>SIT; UAT</t>
        </is>
      </c>
      <c r="N106" s="18" t="inlineStr">
        <is>
          <t>Not Started</t>
        </is>
      </c>
      <c r="O106" s="18" t="n"/>
      <c r="P106" s="18" t="n"/>
      <c r="Q106" s="18" t="inlineStr">
        <is>
          <t>Priority defaulted to M (exception flow; see Legend)</t>
        </is>
      </c>
    </row>
    <row r="107">
      <c r="A107" s="18" t="inlineStr">
        <is>
          <t>RET-EX-03</t>
        </is>
      </c>
      <c r="B107" s="18" t="inlineStr">
        <is>
          <t>Exception</t>
        </is>
      </c>
      <c r="C107" s="18" t="inlineStr">
        <is>
          <t>Returns</t>
        </is>
      </c>
      <c r="D107" s="18" t="inlineStr">
        <is>
          <t>8.5 Exception Handling</t>
        </is>
      </c>
      <c r="E107" s="18" t="inlineStr">
        <is>
          <t>docs/scope/04-functional-inventory.md</t>
        </is>
      </c>
      <c r="F107" s="18" t="inlineStr">
        <is>
          <t>Serial not shipped by us</t>
        </is>
      </c>
      <c r="G107" s="18" t="inlineStr">
        <is>
          <t>Resolution: Quarantine; fraud workflow</t>
        </is>
      </c>
      <c r="H107" s="18" t="inlineStr">
        <is>
          <t>M</t>
        </is>
      </c>
      <c r="I107" s="18" t="n"/>
      <c r="J107" s="18" t="n"/>
      <c r="K107" s="18" t="inlineStr">
        <is>
          <t>TC-RET-EX-03-01</t>
        </is>
      </c>
      <c r="L107" s="18" t="inlineStr">
        <is>
          <t>Negative / exception scenario</t>
        </is>
      </c>
      <c r="M107" s="18" t="inlineStr">
        <is>
          <t>SIT; UAT</t>
        </is>
      </c>
      <c r="N107" s="18" t="inlineStr">
        <is>
          <t>Not Started</t>
        </is>
      </c>
      <c r="O107" s="18" t="n"/>
      <c r="P107" s="18" t="n"/>
      <c r="Q107" s="18" t="inlineStr">
        <is>
          <t>Priority defaulted to M (exception flow; see Legend)</t>
        </is>
      </c>
    </row>
    <row r="108">
      <c r="A108" s="18" t="inlineStr">
        <is>
          <t>RET-EX-04</t>
        </is>
      </c>
      <c r="B108" s="18" t="inlineStr">
        <is>
          <t>Exception</t>
        </is>
      </c>
      <c r="C108" s="18" t="inlineStr">
        <is>
          <t>Returns</t>
        </is>
      </c>
      <c r="D108" s="18" t="inlineStr">
        <is>
          <t>8.5 Exception Handling</t>
        </is>
      </c>
      <c r="E108" s="18" t="inlineStr">
        <is>
          <t>docs/scope/04-functional-inventory.md</t>
        </is>
      </c>
      <c r="F108" s="18" t="inlineStr">
        <is>
          <t>RTV refused by vendor</t>
        </is>
      </c>
      <c r="G108" s="18" t="inlineStr">
        <is>
          <t>Resolution: Re-disposition (scrap / liquidate)</t>
        </is>
      </c>
      <c r="H108" s="18" t="inlineStr">
        <is>
          <t>M</t>
        </is>
      </c>
      <c r="I108" s="18" t="n"/>
      <c r="J108" s="18" t="n"/>
      <c r="K108" s="18" t="inlineStr">
        <is>
          <t>TC-RET-EX-04-01</t>
        </is>
      </c>
      <c r="L108" s="18" t="inlineStr">
        <is>
          <t>Negative / exception scenario</t>
        </is>
      </c>
      <c r="M108" s="18" t="inlineStr">
        <is>
          <t>SIT; UAT</t>
        </is>
      </c>
      <c r="N108" s="18" t="inlineStr">
        <is>
          <t>Not Started</t>
        </is>
      </c>
      <c r="O108" s="18" t="n"/>
      <c r="P108" s="18" t="n"/>
      <c r="Q108" s="18" t="inlineStr">
        <is>
          <t>Priority defaulted to M (exception flow; see Legend)</t>
        </is>
      </c>
    </row>
    <row r="109">
      <c r="A109" s="18" t="inlineStr">
        <is>
          <t>XDK-001</t>
        </is>
      </c>
      <c r="B109" s="18" t="inlineStr">
        <is>
          <t>Requirement</t>
        </is>
      </c>
      <c r="C109" s="18" t="inlineStr">
        <is>
          <t>Cross-Docking</t>
        </is>
      </c>
      <c r="D109" s="18" t="inlineStr">
        <is>
          <t>9.3 System Rules</t>
        </is>
      </c>
      <c r="E109" s="18" t="inlineStr">
        <is>
          <t>docs/scope/04-functional-inventory.md</t>
        </is>
      </c>
      <c r="F109" s="18" t="inlineStr">
        <is>
          <t>Cross-dock priority: backorders of priority customers &gt; planned cross-dock &gt; regular orders due today.</t>
        </is>
      </c>
      <c r="G109" s="18" t="inlineStr">
        <is>
          <t>Rule/requirement enforced as stated (positive + negative case)</t>
        </is>
      </c>
      <c r="H109" s="18" t="inlineStr">
        <is>
          <t>S</t>
        </is>
      </c>
      <c r="I109" s="18" t="n"/>
      <c r="J109" s="18" t="n"/>
      <c r="K109" s="18" t="inlineStr">
        <is>
          <t>TC-XDK-001-01</t>
        </is>
      </c>
      <c r="L109" s="18" t="inlineStr">
        <is>
          <t>Functional (rule test harness + E2E scenario)</t>
        </is>
      </c>
      <c r="M109" s="18" t="inlineStr">
        <is>
          <t>SIT; UAT</t>
        </is>
      </c>
      <c r="N109" s="18" t="inlineStr">
        <is>
          <t>Not Started</t>
        </is>
      </c>
      <c r="O109" s="18" t="n"/>
      <c r="P109" s="18" t="n"/>
      <c r="Q109" s="18" t="inlineStr"/>
    </row>
    <row r="110">
      <c r="A110" s="18" t="inlineStr">
        <is>
          <t>XDK-002</t>
        </is>
      </c>
      <c r="B110" s="18" t="inlineStr">
        <is>
          <t>Requirement</t>
        </is>
      </c>
      <c r="C110" s="18" t="inlineStr">
        <is>
          <t>Cross-Docking</t>
        </is>
      </c>
      <c r="D110" s="18" t="inlineStr">
        <is>
          <t>9.3 System Rules</t>
        </is>
      </c>
      <c r="E110" s="18" t="inlineStr">
        <is>
          <t>docs/scope/04-functional-inventory.md</t>
        </is>
      </c>
      <c r="F110" s="18" t="inlineStr">
        <is>
          <t>Cross-dock only for stock received as AVAILABLE (QI stock never cross-docked).</t>
        </is>
      </c>
      <c r="G110" s="18" t="inlineStr">
        <is>
          <t>Rule/requirement enforced as stated (positive + negative case)</t>
        </is>
      </c>
      <c r="H110" s="18" t="inlineStr">
        <is>
          <t>M</t>
        </is>
      </c>
      <c r="I110" s="18" t="n"/>
      <c r="J110" s="18" t="n"/>
      <c r="K110" s="18" t="inlineStr">
        <is>
          <t>TC-XDK-002-01</t>
        </is>
      </c>
      <c r="L110" s="18" t="inlineStr">
        <is>
          <t>Functional (rule test harness + E2E scenario)</t>
        </is>
      </c>
      <c r="M110" s="18" t="inlineStr">
        <is>
          <t>SIT; UAT</t>
        </is>
      </c>
      <c r="N110" s="18" t="inlineStr">
        <is>
          <t>Not Started</t>
        </is>
      </c>
      <c r="O110" s="18" t="n"/>
      <c r="P110" s="18" t="n"/>
      <c r="Q110" s="18" t="inlineStr"/>
    </row>
    <row r="111">
      <c r="A111" s="18" t="inlineStr">
        <is>
          <t>XDK-003</t>
        </is>
      </c>
      <c r="B111" s="18" t="inlineStr">
        <is>
          <t>Requirement</t>
        </is>
      </c>
      <c r="C111" s="18" t="inlineStr">
        <is>
          <t>Cross-Docking</t>
        </is>
      </c>
      <c r="D111" s="18" t="inlineStr">
        <is>
          <t>9.3 System Rules</t>
        </is>
      </c>
      <c r="E111" s="18" t="inlineStr">
        <is>
          <t>docs/scope/04-functional-inventory.md</t>
        </is>
      </c>
      <c r="F111" s="18" t="inlineStr">
        <is>
          <t>Lot/expiry constraints of the outbound customer still apply.</t>
        </is>
      </c>
      <c r="G111" s="18" t="inlineStr">
        <is>
          <t>Rule/requirement enforced as stated (positive + negative case)</t>
        </is>
      </c>
      <c r="H111" s="18" t="inlineStr">
        <is>
          <t>M</t>
        </is>
      </c>
      <c r="I111" s="18" t="n"/>
      <c r="J111" s="18" t="n"/>
      <c r="K111" s="18" t="inlineStr">
        <is>
          <t>TC-XDK-003-01</t>
        </is>
      </c>
      <c r="L111" s="18" t="inlineStr">
        <is>
          <t>Functional (rule test harness + E2E scenario)</t>
        </is>
      </c>
      <c r="M111" s="18" t="inlineStr">
        <is>
          <t>SIT; UAT</t>
        </is>
      </c>
      <c r="N111" s="18" t="inlineStr">
        <is>
          <t>Not Started</t>
        </is>
      </c>
      <c r="O111" s="18" t="n"/>
      <c r="P111" s="18" t="n"/>
      <c r="Q111" s="18" t="inlineStr"/>
    </row>
    <row r="112">
      <c r="A112" s="18" t="inlineStr">
        <is>
          <t>XDK-004</t>
        </is>
      </c>
      <c r="B112" s="18" t="inlineStr">
        <is>
          <t>Requirement</t>
        </is>
      </c>
      <c r="C112" s="18" t="inlineStr">
        <is>
          <t>Cross-Docking</t>
        </is>
      </c>
      <c r="D112" s="18" t="inlineStr">
        <is>
          <t>9.3 System Rules</t>
        </is>
      </c>
      <c r="E112" s="18" t="inlineStr">
        <is>
          <t>docs/scope/04-functional-inventory.md</t>
        </is>
      </c>
      <c r="F112" s="18" t="inlineStr">
        <is>
          <t>Dwell time SLA (e.g., ≤ 24 h in staging) with alerting.</t>
        </is>
      </c>
      <c r="G112" s="18" t="inlineStr">
        <is>
          <t>Rule/requirement enforced as stated (positive + negative case)</t>
        </is>
      </c>
      <c r="H112" s="18" t="inlineStr">
        <is>
          <t>S</t>
        </is>
      </c>
      <c r="I112" s="18" t="n"/>
      <c r="J112" s="18" t="n"/>
      <c r="K112" s="18" t="inlineStr">
        <is>
          <t>TC-XDK-004-01</t>
        </is>
      </c>
      <c r="L112" s="18" t="inlineStr">
        <is>
          <t>Functional (rule test harness + E2E scenario)</t>
        </is>
      </c>
      <c r="M112" s="18" t="inlineStr">
        <is>
          <t>SIT; UAT</t>
        </is>
      </c>
      <c r="N112" s="18" t="inlineStr">
        <is>
          <t>Not Started</t>
        </is>
      </c>
      <c r="O112" s="18" t="n"/>
      <c r="P112" s="18" t="n"/>
      <c r="Q112" s="18" t="inlineStr"/>
    </row>
    <row r="113">
      <c r="A113" s="18" t="inlineStr">
        <is>
          <t>XDK-EX-01</t>
        </is>
      </c>
      <c r="B113" s="18" t="inlineStr">
        <is>
          <t>Exception</t>
        </is>
      </c>
      <c r="C113" s="18" t="inlineStr">
        <is>
          <t>Cross-Docking</t>
        </is>
      </c>
      <c r="D113" s="18" t="inlineStr">
        <is>
          <t>9.4 Exception Handling</t>
        </is>
      </c>
      <c r="E113" s="18" t="inlineStr">
        <is>
          <t>docs/scope/04-functional-inventory.md</t>
        </is>
      </c>
      <c r="F113" s="18" t="inlineStr">
        <is>
          <t>Inbound short vs planned cross-dock allocation</t>
        </is>
      </c>
      <c r="G113" s="18" t="inlineStr">
        <is>
          <t>Resolution: Fair-share or priority allocation across destinations; shortfall to regular fulfilment</t>
        </is>
      </c>
      <c r="H113" s="18" t="inlineStr">
        <is>
          <t>M</t>
        </is>
      </c>
      <c r="I113" s="18" t="n"/>
      <c r="J113" s="18" t="n"/>
      <c r="K113" s="18" t="inlineStr">
        <is>
          <t>TC-XDK-EX-01-01</t>
        </is>
      </c>
      <c r="L113" s="18" t="inlineStr">
        <is>
          <t>Negative / exception scenario</t>
        </is>
      </c>
      <c r="M113" s="18" t="inlineStr">
        <is>
          <t>SIT; UAT</t>
        </is>
      </c>
      <c r="N113" s="18" t="inlineStr">
        <is>
          <t>Not Started</t>
        </is>
      </c>
      <c r="O113" s="18" t="n"/>
      <c r="P113" s="18" t="n"/>
      <c r="Q113" s="18" t="inlineStr">
        <is>
          <t>Priority defaulted to M (exception flow; see Legend)</t>
        </is>
      </c>
    </row>
    <row r="114">
      <c r="A114" s="18" t="inlineStr">
        <is>
          <t>XDK-EX-02</t>
        </is>
      </c>
      <c r="B114" s="18" t="inlineStr">
        <is>
          <t>Exception</t>
        </is>
      </c>
      <c r="C114" s="18" t="inlineStr">
        <is>
          <t>Cross-Docking</t>
        </is>
      </c>
      <c r="D114" s="18" t="inlineStr">
        <is>
          <t>9.4 Exception Handling</t>
        </is>
      </c>
      <c r="E114" s="18" t="inlineStr">
        <is>
          <t>docs/scope/04-functional-inventory.md</t>
        </is>
      </c>
      <c r="F114" s="18" t="inlineStr">
        <is>
          <t>Outbound trailer not available</t>
        </is>
      </c>
      <c r="G114" s="18" t="inlineStr">
        <is>
          <t>Resolution: Staged stock remains allocated; after dwell SLA → putaway with allocation kept</t>
        </is>
      </c>
      <c r="H114" s="18" t="inlineStr">
        <is>
          <t>M</t>
        </is>
      </c>
      <c r="I114" s="18" t="n"/>
      <c r="J114" s="18" t="n"/>
      <c r="K114" s="18" t="inlineStr">
        <is>
          <t>TC-XDK-EX-02-01</t>
        </is>
      </c>
      <c r="L114" s="18" t="inlineStr">
        <is>
          <t>Negative / exception scenario</t>
        </is>
      </c>
      <c r="M114" s="18" t="inlineStr">
        <is>
          <t>SIT; UAT</t>
        </is>
      </c>
      <c r="N114" s="18" t="inlineStr">
        <is>
          <t>Not Started</t>
        </is>
      </c>
      <c r="O114" s="18" t="n"/>
      <c r="P114" s="18" t="n"/>
      <c r="Q114" s="18" t="inlineStr">
        <is>
          <t>Priority defaulted to M (exception flow; see Legend)</t>
        </is>
      </c>
    </row>
    <row r="115">
      <c r="A115" s="18" t="inlineStr">
        <is>
          <t>XDK-EX-03</t>
        </is>
      </c>
      <c r="B115" s="18" t="inlineStr">
        <is>
          <t>Exception</t>
        </is>
      </c>
      <c r="C115" s="18" t="inlineStr">
        <is>
          <t>Cross-Docking</t>
        </is>
      </c>
      <c r="D115" s="18" t="inlineStr">
        <is>
          <t>9.4 Exception Handling</t>
        </is>
      </c>
      <c r="E115" s="18" t="inlineStr">
        <is>
          <t>docs/scope/04-functional-inventory.md</t>
        </is>
      </c>
      <c r="F115" s="18" t="inlineStr">
        <is>
          <t>Outbound order cancelled after cross-dock split</t>
        </is>
      </c>
      <c r="G115" s="18" t="inlineStr">
        <is>
          <t>Resolution: Redirect to putaway</t>
        </is>
      </c>
      <c r="H115" s="18" t="inlineStr">
        <is>
          <t>M</t>
        </is>
      </c>
      <c r="I115" s="18" t="n"/>
      <c r="J115" s="18" t="n"/>
      <c r="K115" s="18" t="inlineStr">
        <is>
          <t>TC-XDK-EX-03-01</t>
        </is>
      </c>
      <c r="L115" s="18" t="inlineStr">
        <is>
          <t>Negative / exception scenario</t>
        </is>
      </c>
      <c r="M115" s="18" t="inlineStr">
        <is>
          <t>SIT; UAT</t>
        </is>
      </c>
      <c r="N115" s="18" t="inlineStr">
        <is>
          <t>Not Started</t>
        </is>
      </c>
      <c r="O115" s="18" t="n"/>
      <c r="P115" s="18" t="n"/>
      <c r="Q115" s="18" t="inlineStr">
        <is>
          <t>Priority defaulted to M (exception flow; see Legend)</t>
        </is>
      </c>
    </row>
    <row r="116">
      <c r="A116" s="18" t="inlineStr">
        <is>
          <t>VAS-001</t>
        </is>
      </c>
      <c r="B116" s="18" t="inlineStr">
        <is>
          <t>Requirement</t>
        </is>
      </c>
      <c r="C116" s="18" t="inlineStr">
        <is>
          <t>Value-Added Services</t>
        </is>
      </c>
      <c r="D116" s="18" t="inlineStr">
        <is>
          <t>10.3 System Rules</t>
        </is>
      </c>
      <c r="E116" s="18" t="inlineStr">
        <is>
          <t>docs/scope/05-functional-specialised.md</t>
        </is>
      </c>
      <c r="F116" s="18" t="inlineStr">
        <is>
          <t>VAS work orders are sequenced to complete before the order's pack deadline; VAS lead time is included in the release-by calculation.</t>
        </is>
      </c>
      <c r="G116" s="18" t="inlineStr">
        <is>
          <t>Rule/requirement enforced as stated (positive + negative case)</t>
        </is>
      </c>
      <c r="H116" s="18" t="inlineStr">
        <is>
          <t>M</t>
        </is>
      </c>
      <c r="I116" s="18" t="n"/>
      <c r="J116" s="18" t="n"/>
      <c r="K116" s="18" t="inlineStr">
        <is>
          <t>TC-VAS-001-01</t>
        </is>
      </c>
      <c r="L116" s="18" t="inlineStr">
        <is>
          <t>Functional (rule test harness + E2E scenario)</t>
        </is>
      </c>
      <c r="M116" s="18" t="inlineStr">
        <is>
          <t>SIT; UAT</t>
        </is>
      </c>
      <c r="N116" s="18" t="inlineStr">
        <is>
          <t>Not Started</t>
        </is>
      </c>
      <c r="O116" s="18" t="n"/>
      <c r="P116" s="18" t="n"/>
      <c r="Q116" s="18" t="inlineStr"/>
    </row>
    <row r="117">
      <c r="A117" s="18" t="inlineStr">
        <is>
          <t>VAS-002</t>
        </is>
      </c>
      <c r="B117" s="18" t="inlineStr">
        <is>
          <t>Requirement</t>
        </is>
      </c>
      <c r="C117" s="18" t="inlineStr">
        <is>
          <t>Value-Added Services</t>
        </is>
      </c>
      <c r="D117" s="18" t="inlineStr">
        <is>
          <t>10.3 System Rules</t>
        </is>
      </c>
      <c r="E117" s="18" t="inlineStr">
        <is>
          <t>docs/scope/05-functional-specialised.md</t>
        </is>
      </c>
      <c r="F117" s="18" t="inlineStr">
        <is>
          <t>VAS station capacity (operators × standard minutes) is a constraint in wave planning.</t>
        </is>
      </c>
      <c r="G117" s="18" t="inlineStr">
        <is>
          <t>Rule/requirement enforced as stated (positive + negative case)</t>
        </is>
      </c>
      <c r="H117" s="18" t="inlineStr">
        <is>
          <t>S</t>
        </is>
      </c>
      <c r="I117" s="18" t="n"/>
      <c r="J117" s="18" t="n"/>
      <c r="K117" s="18" t="inlineStr">
        <is>
          <t>TC-VAS-002-01</t>
        </is>
      </c>
      <c r="L117" s="18" t="inlineStr">
        <is>
          <t>Functional (rule test harness + E2E scenario)</t>
        </is>
      </c>
      <c r="M117" s="18" t="inlineStr">
        <is>
          <t>SIT; UAT</t>
        </is>
      </c>
      <c r="N117" s="18" t="inlineStr">
        <is>
          <t>Not Started</t>
        </is>
      </c>
      <c r="O117" s="18" t="n"/>
      <c r="P117" s="18" t="n"/>
      <c r="Q117" s="18" t="inlineStr"/>
    </row>
    <row r="118">
      <c r="A118" s="18" t="inlineStr">
        <is>
          <t>VAS-003</t>
        </is>
      </c>
      <c r="B118" s="18" t="inlineStr">
        <is>
          <t>Requirement</t>
        </is>
      </c>
      <c r="C118" s="18" t="inlineStr">
        <is>
          <t>Value-Added Services</t>
        </is>
      </c>
      <c r="D118" s="18" t="inlineStr">
        <is>
          <t>10.3 System Rules</t>
        </is>
      </c>
      <c r="E118" s="18" t="inlineStr">
        <is>
          <t>docs/scope/05-functional-specialised.md</t>
        </is>
      </c>
      <c r="F118" s="18" t="inlineStr">
        <is>
          <t>Each VAS completion generates a billable event (3PL) with quantity, service code, and owner.</t>
        </is>
      </c>
      <c r="G118" s="18" t="inlineStr">
        <is>
          <t>Rule/requirement enforced as stated (positive + negative case)</t>
        </is>
      </c>
      <c r="H118" s="18" t="inlineStr">
        <is>
          <t>M</t>
        </is>
      </c>
      <c r="I118" s="18" t="n"/>
      <c r="J118" s="18" t="n"/>
      <c r="K118" s="18" t="inlineStr">
        <is>
          <t>TC-VAS-003-01</t>
        </is>
      </c>
      <c r="L118" s="18" t="inlineStr">
        <is>
          <t>Functional (rule test harness + E2E scenario)</t>
        </is>
      </c>
      <c r="M118" s="18" t="inlineStr">
        <is>
          <t>SIT; UAT</t>
        </is>
      </c>
      <c r="N118" s="18" t="inlineStr">
        <is>
          <t>Not Started</t>
        </is>
      </c>
      <c r="O118" s="18" t="n"/>
      <c r="P118" s="18" t="n"/>
      <c r="Q118" s="18" t="inlineStr"/>
    </row>
    <row r="119">
      <c r="A119" s="18" t="inlineStr">
        <is>
          <t>VAS-004</t>
        </is>
      </c>
      <c r="B119" s="18" t="inlineStr">
        <is>
          <t>Requirement</t>
        </is>
      </c>
      <c r="C119" s="18" t="inlineStr">
        <is>
          <t>Value-Added Services</t>
        </is>
      </c>
      <c r="D119" s="18" t="inlineStr">
        <is>
          <t>10.3 System Rules</t>
        </is>
      </c>
      <c r="E119" s="18" t="inlineStr">
        <is>
          <t>docs/scope/05-functional-specialised.md</t>
        </is>
      </c>
      <c r="F119" s="18" t="inlineStr">
        <is>
          <t>Label print jobs are data-driven templates (ZPL/label designer) versioned per customer.</t>
        </is>
      </c>
      <c r="G119" s="18" t="inlineStr">
        <is>
          <t>Rule/requirement enforced as stated (positive + negative case)</t>
        </is>
      </c>
      <c r="H119" s="18" t="inlineStr">
        <is>
          <t>M</t>
        </is>
      </c>
      <c r="I119" s="18" t="n"/>
      <c r="J119" s="18" t="n"/>
      <c r="K119" s="18" t="inlineStr">
        <is>
          <t>TC-VAS-004-01</t>
        </is>
      </c>
      <c r="L119" s="18" t="inlineStr">
        <is>
          <t>Functional (rule test harness + E2E scenario)</t>
        </is>
      </c>
      <c r="M119" s="18" t="inlineStr">
        <is>
          <t>SIT; UAT</t>
        </is>
      </c>
      <c r="N119" s="18" t="inlineStr">
        <is>
          <t>Not Started</t>
        </is>
      </c>
      <c r="O119" s="18" t="n"/>
      <c r="P119" s="18" t="n"/>
      <c r="Q119" s="18" t="inlineStr"/>
    </row>
    <row r="120">
      <c r="A120" s="18" t="inlineStr">
        <is>
          <t>VAS-EX-01</t>
        </is>
      </c>
      <c r="B120" s="18" t="inlineStr">
        <is>
          <t>Exception</t>
        </is>
      </c>
      <c r="C120" s="18" t="inlineStr">
        <is>
          <t>Value-Added Services</t>
        </is>
      </c>
      <c r="D120" s="18" t="inlineStr">
        <is>
          <t>10.4 Exceptions</t>
        </is>
      </c>
      <c r="E120" s="18" t="inlineStr">
        <is>
          <t>docs/scope/05-functional-specialised.md</t>
        </is>
      </c>
      <c r="F120" s="18" t="inlineStr">
        <is>
          <t>Consumable out of stock</t>
        </is>
      </c>
      <c r="G120" s="18" t="inlineStr">
        <is>
          <t>Resolution: Replenish consumable; order held at VAS with alert</t>
        </is>
      </c>
      <c r="H120" s="18" t="inlineStr">
        <is>
          <t>M</t>
        </is>
      </c>
      <c r="I120" s="18" t="n"/>
      <c r="J120" s="18" t="n"/>
      <c r="K120" s="18" t="inlineStr">
        <is>
          <t>TC-VAS-EX-01-01</t>
        </is>
      </c>
      <c r="L120" s="18" t="inlineStr">
        <is>
          <t>Negative / exception scenario</t>
        </is>
      </c>
      <c r="M120" s="18" t="inlineStr">
        <is>
          <t>SIT; UAT</t>
        </is>
      </c>
      <c r="N120" s="18" t="inlineStr">
        <is>
          <t>Not Started</t>
        </is>
      </c>
      <c r="O120" s="18" t="n"/>
      <c r="P120" s="18" t="n"/>
      <c r="Q120" s="18" t="inlineStr">
        <is>
          <t>Priority defaulted to M (exception flow; see Legend)</t>
        </is>
      </c>
    </row>
    <row r="121">
      <c r="A121" s="18" t="inlineStr">
        <is>
          <t>VAS-EX-02</t>
        </is>
      </c>
      <c r="B121" s="18" t="inlineStr">
        <is>
          <t>Exception</t>
        </is>
      </c>
      <c r="C121" s="18" t="inlineStr">
        <is>
          <t>Value-Added Services</t>
        </is>
      </c>
      <c r="D121" s="18" t="inlineStr">
        <is>
          <t>10.4 Exceptions</t>
        </is>
      </c>
      <c r="E121" s="18" t="inlineStr">
        <is>
          <t>docs/scope/05-functional-specialised.md</t>
        </is>
      </c>
      <c r="F121" s="18" t="inlineStr">
        <is>
          <t>Unit damaged during VAS</t>
        </is>
      </c>
      <c r="G121" s="18" t="inlineStr">
        <is>
          <t>Resolution: Damage adjustment; re-pick replacement</t>
        </is>
      </c>
      <c r="H121" s="18" t="inlineStr">
        <is>
          <t>M</t>
        </is>
      </c>
      <c r="I121" s="18" t="n"/>
      <c r="J121" s="18" t="n"/>
      <c r="K121" s="18" t="inlineStr">
        <is>
          <t>TC-VAS-EX-02-01</t>
        </is>
      </c>
      <c r="L121" s="18" t="inlineStr">
        <is>
          <t>Negative / exception scenario</t>
        </is>
      </c>
      <c r="M121" s="18" t="inlineStr">
        <is>
          <t>SIT; UAT</t>
        </is>
      </c>
      <c r="N121" s="18" t="inlineStr">
        <is>
          <t>Not Started</t>
        </is>
      </c>
      <c r="O121" s="18" t="n"/>
      <c r="P121" s="18" t="n"/>
      <c r="Q121" s="18" t="inlineStr">
        <is>
          <t>Priority defaulted to M (exception flow; see Legend)</t>
        </is>
      </c>
    </row>
    <row r="122">
      <c r="A122" s="18" t="inlineStr">
        <is>
          <t>VAS-EX-03</t>
        </is>
      </c>
      <c r="B122" s="18" t="inlineStr">
        <is>
          <t>Exception</t>
        </is>
      </c>
      <c r="C122" s="18" t="inlineStr">
        <is>
          <t>Value-Added Services</t>
        </is>
      </c>
      <c r="D122" s="18" t="inlineStr">
        <is>
          <t>10.4 Exceptions</t>
        </is>
      </c>
      <c r="E122" s="18" t="inlineStr">
        <is>
          <t>docs/scope/05-functional-specialised.md</t>
        </is>
      </c>
      <c r="F122" s="18" t="inlineStr">
        <is>
          <t>Instruction missing / ambiguous</t>
        </is>
      </c>
      <c r="G122" s="18" t="inlineStr">
        <is>
          <t>Resolution: Hold with "instruction required"; customer service/3PL account manager task</t>
        </is>
      </c>
      <c r="H122" s="18" t="inlineStr">
        <is>
          <t>M</t>
        </is>
      </c>
      <c r="I122" s="18" t="n"/>
      <c r="J122" s="18" t="n"/>
      <c r="K122" s="18" t="inlineStr">
        <is>
          <t>TC-VAS-EX-03-01</t>
        </is>
      </c>
      <c r="L122" s="18" t="inlineStr">
        <is>
          <t>Negative / exception scenario</t>
        </is>
      </c>
      <c r="M122" s="18" t="inlineStr">
        <is>
          <t>SIT; UAT</t>
        </is>
      </c>
      <c r="N122" s="18" t="inlineStr">
        <is>
          <t>Not Started</t>
        </is>
      </c>
      <c r="O122" s="18" t="n"/>
      <c r="P122" s="18" t="n"/>
      <c r="Q122" s="18" t="inlineStr">
        <is>
          <t>Priority defaulted to M (exception flow; see Legend)</t>
        </is>
      </c>
    </row>
    <row r="123">
      <c r="A123" s="18" t="inlineStr">
        <is>
          <t>KIT-001</t>
        </is>
      </c>
      <c r="B123" s="18" t="inlineStr">
        <is>
          <t>Requirement</t>
        </is>
      </c>
      <c r="C123" s="18" t="inlineStr">
        <is>
          <t>Kitting / Light Mfg</t>
        </is>
      </c>
      <c r="D123" s="18" t="inlineStr">
        <is>
          <t>11.3 System Rules</t>
        </is>
      </c>
      <c r="E123" s="18" t="inlineStr">
        <is>
          <t>docs/scope/05-functional-specialised.md</t>
        </is>
      </c>
      <c r="F123" s="18" t="inlineStr">
        <is>
          <t>BOM version effective at the work-order date is used; BOM master is received from ERP (SAP BOMMAT / CS BOM; Oracle BOM_STRUCTURES_B).</t>
        </is>
      </c>
      <c r="G123" s="18" t="inlineStr">
        <is>
          <t>Rule/requirement enforced as stated (positive + negative case)</t>
        </is>
      </c>
      <c r="H123" s="18" t="inlineStr">
        <is>
          <t>M</t>
        </is>
      </c>
      <c r="I123" s="18" t="n"/>
      <c r="J123" s="18" t="n"/>
      <c r="K123" s="18" t="inlineStr">
        <is>
          <t>TC-KIT-001-01</t>
        </is>
      </c>
      <c r="L123" s="18" t="inlineStr">
        <is>
          <t>Functional (rule test harness + E2E scenario)</t>
        </is>
      </c>
      <c r="M123" s="18" t="inlineStr">
        <is>
          <t>SIT; UAT</t>
        </is>
      </c>
      <c r="N123" s="18" t="inlineStr">
        <is>
          <t>Not Started</t>
        </is>
      </c>
      <c r="O123" s="18" t="n"/>
      <c r="P123" s="18" t="n"/>
      <c r="Q123" s="18" t="inlineStr"/>
    </row>
    <row r="124">
      <c r="A124" s="18" t="inlineStr">
        <is>
          <t>KIT-002</t>
        </is>
      </c>
      <c r="B124" s="18" t="inlineStr">
        <is>
          <t>Requirement</t>
        </is>
      </c>
      <c r="C124" s="18" t="inlineStr">
        <is>
          <t>Kitting / Light Mfg</t>
        </is>
      </c>
      <c r="D124" s="18" t="inlineStr">
        <is>
          <t>11.3 System Rules</t>
        </is>
      </c>
      <c r="E124" s="18" t="inlineStr">
        <is>
          <t>docs/scope/05-functional-specialised.md</t>
        </is>
      </c>
      <c r="F124" s="18" t="inlineStr">
        <is>
          <t>Component lot/serial genealogy is recorded against the parent serial/lot.</t>
        </is>
      </c>
      <c r="G124" s="18" t="inlineStr">
        <is>
          <t>Rule/requirement enforced as stated (positive + negative case)</t>
        </is>
      </c>
      <c r="H124" s="18" t="inlineStr">
        <is>
          <t>M</t>
        </is>
      </c>
      <c r="I124" s="18" t="n"/>
      <c r="J124" s="18" t="n"/>
      <c r="K124" s="18" t="inlineStr">
        <is>
          <t>TC-KIT-002-01</t>
        </is>
      </c>
      <c r="L124" s="18" t="inlineStr">
        <is>
          <t>Functional (rule test harness + E2E scenario)</t>
        </is>
      </c>
      <c r="M124" s="18" t="inlineStr">
        <is>
          <t>SIT; UAT</t>
        </is>
      </c>
      <c r="N124" s="18" t="inlineStr">
        <is>
          <t>Not Started</t>
        </is>
      </c>
      <c r="O124" s="18" t="n"/>
      <c r="P124" s="18" t="n"/>
      <c r="Q124" s="18" t="inlineStr"/>
    </row>
    <row r="125">
      <c r="A125" s="18" t="inlineStr">
        <is>
          <t>KIT-003</t>
        </is>
      </c>
      <c r="B125" s="18" t="inlineStr">
        <is>
          <t>Requirement</t>
        </is>
      </c>
      <c r="C125" s="18" t="inlineStr">
        <is>
          <t>Kitting / Light Mfg</t>
        </is>
      </c>
      <c r="D125" s="18" t="inlineStr">
        <is>
          <t>11.3 System Rules</t>
        </is>
      </c>
      <c r="E125" s="18" t="inlineStr">
        <is>
          <t>docs/scope/05-functional-specialised.md</t>
        </is>
      </c>
      <c r="F125" s="18" t="inlineStr">
        <is>
          <t>Kit cannot be completed with missing components unless an approved substitute component is defined.</t>
        </is>
      </c>
      <c r="G125" s="18" t="inlineStr">
        <is>
          <t>Rule/requirement enforced as stated (positive + negative case)</t>
        </is>
      </c>
      <c r="H125" s="18" t="inlineStr">
        <is>
          <t>M</t>
        </is>
      </c>
      <c r="I125" s="18" t="n"/>
      <c r="J125" s="18" t="n"/>
      <c r="K125" s="18" t="inlineStr">
        <is>
          <t>TC-KIT-003-01</t>
        </is>
      </c>
      <c r="L125" s="18" t="inlineStr">
        <is>
          <t>Functional (rule test harness + E2E scenario)</t>
        </is>
      </c>
      <c r="M125" s="18" t="inlineStr">
        <is>
          <t>SIT; UAT</t>
        </is>
      </c>
      <c r="N125" s="18" t="inlineStr">
        <is>
          <t>Not Started</t>
        </is>
      </c>
      <c r="O125" s="18" t="n"/>
      <c r="P125" s="18" t="n"/>
      <c r="Q125" s="18" t="inlineStr"/>
    </row>
    <row r="126">
      <c r="A126" s="18" t="inlineStr">
        <is>
          <t>KIT-004</t>
        </is>
      </c>
      <c r="B126" s="18" t="inlineStr">
        <is>
          <t>Requirement</t>
        </is>
      </c>
      <c r="C126" s="18" t="inlineStr">
        <is>
          <t>Kitting / Light Mfg</t>
        </is>
      </c>
      <c r="D126" s="18" t="inlineStr">
        <is>
          <t>11.3 System Rules</t>
        </is>
      </c>
      <c r="E126" s="18" t="inlineStr">
        <is>
          <t>docs/scope/05-functional-specialised.md</t>
        </is>
      </c>
      <c r="F126" s="18" t="inlineStr">
        <is>
          <t>Partial completion allowed; remaining components stay allocated to the work order.</t>
        </is>
      </c>
      <c r="G126" s="18" t="inlineStr">
        <is>
          <t>Rule/requirement enforced as stated (positive + negative case)</t>
        </is>
      </c>
      <c r="H126" s="18" t="inlineStr">
        <is>
          <t>S</t>
        </is>
      </c>
      <c r="I126" s="18" t="n"/>
      <c r="J126" s="18" t="n"/>
      <c r="K126" s="18" t="inlineStr">
        <is>
          <t>TC-KIT-004-01</t>
        </is>
      </c>
      <c r="L126" s="18" t="inlineStr">
        <is>
          <t>Functional (rule test harness + E2E scenario)</t>
        </is>
      </c>
      <c r="M126" s="18" t="inlineStr">
        <is>
          <t>SIT; UAT</t>
        </is>
      </c>
      <c r="N126" s="18" t="inlineStr">
        <is>
          <t>Not Started</t>
        </is>
      </c>
      <c r="O126" s="18" t="n"/>
      <c r="P126" s="18" t="n"/>
      <c r="Q126" s="18" t="inlineStr"/>
    </row>
    <row r="127">
      <c r="A127" s="18" t="inlineStr">
        <is>
          <t>KIT-005</t>
        </is>
      </c>
      <c r="B127" s="18" t="inlineStr">
        <is>
          <t>Requirement</t>
        </is>
      </c>
      <c r="C127" s="18" t="inlineStr">
        <is>
          <t>Kitting / Light Mfg</t>
        </is>
      </c>
      <c r="D127" s="18" t="inlineStr">
        <is>
          <t>11.3 System Rules</t>
        </is>
      </c>
      <c r="E127" s="18" t="inlineStr">
        <is>
          <t>docs/scope/05-functional-specialised.md</t>
        </is>
      </c>
      <c r="F127" s="18" t="inlineStr">
        <is>
          <t>Parent lot expiry = min(component expiry) unless rule overrides.</t>
        </is>
      </c>
      <c r="G127" s="18" t="inlineStr">
        <is>
          <t>Rule/requirement enforced as stated (positive + negative case)</t>
        </is>
      </c>
      <c r="H127" s="18" t="inlineStr">
        <is>
          <t>M</t>
        </is>
      </c>
      <c r="I127" s="18" t="n"/>
      <c r="J127" s="18" t="n"/>
      <c r="K127" s="18" t="inlineStr">
        <is>
          <t>TC-KIT-005-01</t>
        </is>
      </c>
      <c r="L127" s="18" t="inlineStr">
        <is>
          <t>Functional (rule test harness + E2E scenario)</t>
        </is>
      </c>
      <c r="M127" s="18" t="inlineStr">
        <is>
          <t>SIT; UAT</t>
        </is>
      </c>
      <c r="N127" s="18" t="inlineStr">
        <is>
          <t>Not Started</t>
        </is>
      </c>
      <c r="O127" s="18" t="n"/>
      <c r="P127" s="18" t="n"/>
      <c r="Q127" s="18" t="inlineStr"/>
    </row>
    <row r="128">
      <c r="A128" s="18" t="inlineStr">
        <is>
          <t>KIT-EX-01</t>
        </is>
      </c>
      <c r="B128" s="18" t="inlineStr">
        <is>
          <t>Exception</t>
        </is>
      </c>
      <c r="C128" s="18" t="inlineStr">
        <is>
          <t>Kitting / Light Mfg</t>
        </is>
      </c>
      <c r="D128" s="18" t="inlineStr">
        <is>
          <t>11.4 Exceptions</t>
        </is>
      </c>
      <c r="E128" s="18" t="inlineStr">
        <is>
          <t>docs/scope/05-functional-specialised.md</t>
        </is>
      </c>
      <c r="F128" s="18" t="inlineStr">
        <is>
          <t>Component short</t>
        </is>
      </c>
      <c r="G128" s="18" t="inlineStr">
        <is>
          <t>Resolution: Hold WO; partial build; substitution workflow</t>
        </is>
      </c>
      <c r="H128" s="18" t="inlineStr">
        <is>
          <t>M</t>
        </is>
      </c>
      <c r="I128" s="18" t="n"/>
      <c r="J128" s="18" t="n"/>
      <c r="K128" s="18" t="inlineStr">
        <is>
          <t>TC-KIT-EX-01-01</t>
        </is>
      </c>
      <c r="L128" s="18" t="inlineStr">
        <is>
          <t>Negative / exception scenario</t>
        </is>
      </c>
      <c r="M128" s="18" t="inlineStr">
        <is>
          <t>SIT; UAT</t>
        </is>
      </c>
      <c r="N128" s="18" t="inlineStr">
        <is>
          <t>Not Started</t>
        </is>
      </c>
      <c r="O128" s="18" t="n"/>
      <c r="P128" s="18" t="n"/>
      <c r="Q128" s="18" t="inlineStr">
        <is>
          <t>Priority defaulted to M (exception flow; see Legend)</t>
        </is>
      </c>
    </row>
    <row r="129">
      <c r="A129" s="18" t="inlineStr">
        <is>
          <t>KIT-EX-02</t>
        </is>
      </c>
      <c r="B129" s="18" t="inlineStr">
        <is>
          <t>Exception</t>
        </is>
      </c>
      <c r="C129" s="18" t="inlineStr">
        <is>
          <t>Kitting / Light Mfg</t>
        </is>
      </c>
      <c r="D129" s="18" t="inlineStr">
        <is>
          <t>11.4 Exceptions</t>
        </is>
      </c>
      <c r="E129" s="18" t="inlineStr">
        <is>
          <t>docs/scope/05-functional-specialised.md</t>
        </is>
      </c>
      <c r="F129" s="18" t="inlineStr">
        <is>
          <t>Component defective during assembly</t>
        </is>
      </c>
      <c r="G129" s="18" t="inlineStr">
        <is>
          <t>Resolution: Scrap component with reason; re-pick</t>
        </is>
      </c>
      <c r="H129" s="18" t="inlineStr">
        <is>
          <t>M</t>
        </is>
      </c>
      <c r="I129" s="18" t="n"/>
      <c r="J129" s="18" t="n"/>
      <c r="K129" s="18" t="inlineStr">
        <is>
          <t>TC-KIT-EX-02-01</t>
        </is>
      </c>
      <c r="L129" s="18" t="inlineStr">
        <is>
          <t>Negative / exception scenario</t>
        </is>
      </c>
      <c r="M129" s="18" t="inlineStr">
        <is>
          <t>SIT; UAT</t>
        </is>
      </c>
      <c r="N129" s="18" t="inlineStr">
        <is>
          <t>Not Started</t>
        </is>
      </c>
      <c r="O129" s="18" t="n"/>
      <c r="P129" s="18" t="n"/>
      <c r="Q129" s="18" t="inlineStr">
        <is>
          <t>Priority defaulted to M (exception flow; see Legend)</t>
        </is>
      </c>
    </row>
    <row r="130">
      <c r="A130" s="18" t="inlineStr">
        <is>
          <t>KIT-EX-03</t>
        </is>
      </c>
      <c r="B130" s="18" t="inlineStr">
        <is>
          <t>Exception</t>
        </is>
      </c>
      <c r="C130" s="18" t="inlineStr">
        <is>
          <t>Kitting / Light Mfg</t>
        </is>
      </c>
      <c r="D130" s="18" t="inlineStr">
        <is>
          <t>11.4 Exceptions</t>
        </is>
      </c>
      <c r="E130" s="18" t="inlineStr">
        <is>
          <t>docs/scope/05-functional-specialised.md</t>
        </is>
      </c>
      <c r="F130" s="18" t="inlineStr">
        <is>
          <t>ERP order closed / technically completed during build</t>
        </is>
      </c>
      <c r="G130" s="18" t="inlineStr">
        <is>
          <t>Resolution: Posting rejected → integration workbench; supervisor decides</t>
        </is>
      </c>
      <c r="H130" s="18" t="inlineStr">
        <is>
          <t>M</t>
        </is>
      </c>
      <c r="I130" s="18" t="n"/>
      <c r="J130" s="18" t="n"/>
      <c r="K130" s="18" t="inlineStr">
        <is>
          <t>TC-KIT-EX-03-01</t>
        </is>
      </c>
      <c r="L130" s="18" t="inlineStr">
        <is>
          <t>Negative / exception scenario</t>
        </is>
      </c>
      <c r="M130" s="18" t="inlineStr">
        <is>
          <t>SIT; UAT</t>
        </is>
      </c>
      <c r="N130" s="18" t="inlineStr">
        <is>
          <t>Not Started</t>
        </is>
      </c>
      <c r="O130" s="18" t="n"/>
      <c r="P130" s="18" t="n"/>
      <c r="Q130" s="18" t="inlineStr">
        <is>
          <t>Priority defaulted to M (exception flow; see Legend)</t>
        </is>
      </c>
    </row>
    <row r="131">
      <c r="A131" s="18" t="inlineStr">
        <is>
          <t>QM-001</t>
        </is>
      </c>
      <c r="B131" s="18" t="inlineStr">
        <is>
          <t>Requirement</t>
        </is>
      </c>
      <c r="C131" s="18" t="inlineStr">
        <is>
          <t>Quality Management</t>
        </is>
      </c>
      <c r="D131" s="18" t="inlineStr">
        <is>
          <t>12.6 System Rules</t>
        </is>
      </c>
      <c r="E131" s="18" t="inlineStr">
        <is>
          <t>docs/scope/05-functional-specialised.md</t>
        </is>
      </c>
      <c r="F131" s="18" t="inlineStr">
        <is>
          <t>QI/blocked stock is never allocable; never pickable except for sample pull, RTV, or scrap tasks.</t>
        </is>
      </c>
      <c r="G131" s="18" t="inlineStr">
        <is>
          <t>Rule/requirement enforced as stated (positive + negative case)</t>
        </is>
      </c>
      <c r="H131" s="18" t="inlineStr">
        <is>
          <t>M</t>
        </is>
      </c>
      <c r="I131" s="18" t="n"/>
      <c r="J131" s="18" t="n"/>
      <c r="K131" s="18" t="inlineStr">
        <is>
          <t>TC-QM-001-01</t>
        </is>
      </c>
      <c r="L131" s="18" t="inlineStr">
        <is>
          <t>Functional (rule test harness + E2E scenario)</t>
        </is>
      </c>
      <c r="M131" s="18" t="inlineStr">
        <is>
          <t>SIT; UAT</t>
        </is>
      </c>
      <c r="N131" s="18" t="inlineStr">
        <is>
          <t>Not Started</t>
        </is>
      </c>
      <c r="O131" s="18" t="n"/>
      <c r="P131" s="18" t="n"/>
      <c r="Q131" s="18" t="inlineStr"/>
    </row>
    <row r="132">
      <c r="A132" s="18" t="inlineStr">
        <is>
          <t>QM-002</t>
        </is>
      </c>
      <c r="B132" s="18" t="inlineStr">
        <is>
          <t>Requirement</t>
        </is>
      </c>
      <c r="C132" s="18" t="inlineStr">
        <is>
          <t>Quality Management</t>
        </is>
      </c>
      <c r="D132" s="18" t="inlineStr">
        <is>
          <t>12.6 System Rules</t>
        </is>
      </c>
      <c r="E132" s="18" t="inlineStr">
        <is>
          <t>docs/scope/05-functional-specialised.md</t>
        </is>
      </c>
      <c r="F132" s="18" t="inlineStr">
        <is>
          <t>QA release requires e-signature for regulated item classes.</t>
        </is>
      </c>
      <c r="G132" s="18" t="inlineStr">
        <is>
          <t>Rule/requirement enforced as stated (positive + negative case)</t>
        </is>
      </c>
      <c r="H132" s="18" t="inlineStr">
        <is>
          <t>M</t>
        </is>
      </c>
      <c r="I132" s="18" t="n"/>
      <c r="J132" s="18" t="n"/>
      <c r="K132" s="18" t="inlineStr">
        <is>
          <t>TC-QM-002-01</t>
        </is>
      </c>
      <c r="L132" s="18" t="inlineStr">
        <is>
          <t>Functional (rule test harness + E2E scenario); Regulated validation (OQ)</t>
        </is>
      </c>
      <c r="M132" s="18" t="inlineStr">
        <is>
          <t>SIT; UAT</t>
        </is>
      </c>
      <c r="N132" s="18" t="inlineStr">
        <is>
          <t>Not Started</t>
        </is>
      </c>
      <c r="O132" s="18" t="n"/>
      <c r="P132" s="18" t="n"/>
      <c r="Q132" s="18" t="inlineStr"/>
    </row>
    <row r="133">
      <c r="A133" s="18" t="inlineStr">
        <is>
          <t>QM-003</t>
        </is>
      </c>
      <c r="B133" s="18" t="inlineStr">
        <is>
          <t>Requirement</t>
        </is>
      </c>
      <c r="C133" s="18" t="inlineStr">
        <is>
          <t>Quality Management</t>
        </is>
      </c>
      <c r="D133" s="18" t="inlineStr">
        <is>
          <t>12.6 System Rules</t>
        </is>
      </c>
      <c r="E133" s="18" t="inlineStr">
        <is>
          <t>docs/scope/05-functional-specialised.md</t>
        </is>
      </c>
      <c r="F133" s="18" t="inlineStr">
        <is>
          <t>Sample quantities consumed are posted to ERP as sample consumption (SAP mvt 333 / 331; Oracle misc issue with alias).</t>
        </is>
      </c>
      <c r="G133" s="18" t="inlineStr">
        <is>
          <t>Rule/requirement enforced as stated (positive + negative case)</t>
        </is>
      </c>
      <c r="H133" s="18" t="inlineStr">
        <is>
          <t>M</t>
        </is>
      </c>
      <c r="I133" s="18" t="n"/>
      <c r="J133" s="18" t="n"/>
      <c r="K133" s="18" t="inlineStr">
        <is>
          <t>TC-QM-003-01</t>
        </is>
      </c>
      <c r="L133" s="18" t="inlineStr">
        <is>
          <t>Functional (rule test harness + E2E scenario)</t>
        </is>
      </c>
      <c r="M133" s="18" t="inlineStr">
        <is>
          <t>SIT; UAT</t>
        </is>
      </c>
      <c r="N133" s="18" t="inlineStr">
        <is>
          <t>Not Started</t>
        </is>
      </c>
      <c r="O133" s="18" t="n"/>
      <c r="P133" s="18" t="n"/>
      <c r="Q133" s="18" t="inlineStr"/>
    </row>
    <row r="134">
      <c r="A134" s="18" t="inlineStr">
        <is>
          <t>QM-004</t>
        </is>
      </c>
      <c r="B134" s="18" t="inlineStr">
        <is>
          <t>Requirement</t>
        </is>
      </c>
      <c r="C134" s="18" t="inlineStr">
        <is>
          <t>Quality Management</t>
        </is>
      </c>
      <c r="D134" s="18" t="inlineStr">
        <is>
          <t>12.6 System Rules</t>
        </is>
      </c>
      <c r="E134" s="18" t="inlineStr">
        <is>
          <t>docs/scope/05-functional-specialised.md</t>
        </is>
      </c>
      <c r="F134" s="18" t="inlineStr">
        <is>
          <t>Hold placed by ERP (batch status restricted) must be reflected in WMS within 60 seconds.</t>
        </is>
      </c>
      <c r="G134" s="18" t="inlineStr">
        <is>
          <t>Rule/requirement enforced as stated (positive + negative case)</t>
        </is>
      </c>
      <c r="H134" s="18" t="inlineStr">
        <is>
          <t>M</t>
        </is>
      </c>
      <c r="I134" s="18" t="n"/>
      <c r="J134" s="18" t="n"/>
      <c r="K134" s="18" t="inlineStr">
        <is>
          <t>TC-QM-004-01</t>
        </is>
      </c>
      <c r="L134" s="18" t="inlineStr">
        <is>
          <t>Functional (rule test harness + E2E scenario)</t>
        </is>
      </c>
      <c r="M134" s="18" t="inlineStr">
        <is>
          <t>SIT; UAT</t>
        </is>
      </c>
      <c r="N134" s="18" t="inlineStr">
        <is>
          <t>Not Started</t>
        </is>
      </c>
      <c r="O134" s="18" t="n"/>
      <c r="P134" s="18" t="n"/>
      <c r="Q134" s="18" t="inlineStr"/>
    </row>
    <row r="135">
      <c r="A135" s="18" t="inlineStr">
        <is>
          <t>QM-005</t>
        </is>
      </c>
      <c r="B135" s="18" t="inlineStr">
        <is>
          <t>Requirement</t>
        </is>
      </c>
      <c r="C135" s="18" t="inlineStr">
        <is>
          <t>Quality Management</t>
        </is>
      </c>
      <c r="D135" s="18" t="inlineStr">
        <is>
          <t>12.6 System Rules</t>
        </is>
      </c>
      <c r="E135" s="18" t="inlineStr">
        <is>
          <t>docs/scope/05-functional-specialised.md</t>
        </is>
      </c>
      <c r="F135" s="18" t="inlineStr">
        <is>
          <t>Recall trace across genealogy (kits, repacks) must return complete results.</t>
        </is>
      </c>
      <c r="G135" s="18" t="inlineStr">
        <is>
          <t>Rule/requirement enforced as stated (positive + negative case)</t>
        </is>
      </c>
      <c r="H135" s="18" t="inlineStr">
        <is>
          <t>M</t>
        </is>
      </c>
      <c r="I135" s="18" t="n"/>
      <c r="J135" s="18" t="n"/>
      <c r="K135" s="18" t="inlineStr">
        <is>
          <t>TC-QM-005-01</t>
        </is>
      </c>
      <c r="L135" s="18" t="inlineStr">
        <is>
          <t>Functional (rule test harness + E2E scenario)</t>
        </is>
      </c>
      <c r="M135" s="18" t="inlineStr">
        <is>
          <t>SIT; UAT</t>
        </is>
      </c>
      <c r="N135" s="18" t="inlineStr">
        <is>
          <t>Not Started</t>
        </is>
      </c>
      <c r="O135" s="18" t="n"/>
      <c r="P135" s="18" t="n"/>
      <c r="Q135" s="18" t="inlineStr"/>
    </row>
    <row r="136">
      <c r="A136" s="18" t="inlineStr">
        <is>
          <t>QM-EX-01</t>
        </is>
      </c>
      <c r="B136" s="18" t="inlineStr">
        <is>
          <t>Exception</t>
        </is>
      </c>
      <c r="C136" s="18" t="inlineStr">
        <is>
          <t>Quality Management</t>
        </is>
      </c>
      <c r="D136" s="18" t="inlineStr">
        <is>
          <t>12.7 Exceptions</t>
        </is>
      </c>
      <c r="E136" s="18" t="inlineStr">
        <is>
          <t>docs/scope/05-functional-specialised.md</t>
        </is>
      </c>
      <c r="F136" s="18" t="inlineStr">
        <is>
          <t>UD received for stock already moved/consumed</t>
        </is>
      </c>
      <c r="G136" s="18" t="inlineStr">
        <is>
          <t>Resolution: Apply to remaining qty; discrepancy report</t>
        </is>
      </c>
      <c r="H136" s="18" t="inlineStr">
        <is>
          <t>M</t>
        </is>
      </c>
      <c r="I136" s="18" t="n"/>
      <c r="J136" s="18" t="n"/>
      <c r="K136" s="18" t="inlineStr">
        <is>
          <t>TC-QM-EX-01-01</t>
        </is>
      </c>
      <c r="L136" s="18" t="inlineStr">
        <is>
          <t>Negative / exception scenario</t>
        </is>
      </c>
      <c r="M136" s="18" t="inlineStr">
        <is>
          <t>SIT; UAT</t>
        </is>
      </c>
      <c r="N136" s="18" t="inlineStr">
        <is>
          <t>Not Started</t>
        </is>
      </c>
      <c r="O136" s="18" t="n"/>
      <c r="P136" s="18" t="n"/>
      <c r="Q136" s="18" t="inlineStr">
        <is>
          <t>Priority defaulted to M (exception flow; see Legend)</t>
        </is>
      </c>
    </row>
    <row r="137">
      <c r="A137" s="18" t="inlineStr">
        <is>
          <t>QM-EX-02</t>
        </is>
      </c>
      <c r="B137" s="18" t="inlineStr">
        <is>
          <t>Exception</t>
        </is>
      </c>
      <c r="C137" s="18" t="inlineStr">
        <is>
          <t>Quality Management</t>
        </is>
      </c>
      <c r="D137" s="18" t="inlineStr">
        <is>
          <t>12.7 Exceptions</t>
        </is>
      </c>
      <c r="E137" s="18" t="inlineStr">
        <is>
          <t>docs/scope/05-functional-specialised.md</t>
        </is>
      </c>
      <c r="F137" s="18" t="inlineStr">
        <is>
          <t>Sample pull short</t>
        </is>
      </c>
      <c r="G137" s="18" t="inlineStr">
        <is>
          <t>Resolution: Adjust sample plan; inspector notified</t>
        </is>
      </c>
      <c r="H137" s="18" t="inlineStr">
        <is>
          <t>M</t>
        </is>
      </c>
      <c r="I137" s="18" t="n"/>
      <c r="J137" s="18" t="n"/>
      <c r="K137" s="18" t="inlineStr">
        <is>
          <t>TC-QM-EX-02-01</t>
        </is>
      </c>
      <c r="L137" s="18" t="inlineStr">
        <is>
          <t>Negative / exception scenario</t>
        </is>
      </c>
      <c r="M137" s="18" t="inlineStr">
        <is>
          <t>SIT; UAT</t>
        </is>
      </c>
      <c r="N137" s="18" t="inlineStr">
        <is>
          <t>Not Started</t>
        </is>
      </c>
      <c r="O137" s="18" t="n"/>
      <c r="P137" s="18" t="n"/>
      <c r="Q137" s="18" t="inlineStr">
        <is>
          <t>Priority defaulted to M (exception flow; see Legend)</t>
        </is>
      </c>
    </row>
    <row r="138">
      <c r="A138" s="18" t="inlineStr">
        <is>
          <t>QM-EX-03</t>
        </is>
      </c>
      <c r="B138" s="18" t="inlineStr">
        <is>
          <t>Exception</t>
        </is>
      </c>
      <c r="C138" s="18" t="inlineStr">
        <is>
          <t>Quality Management</t>
        </is>
      </c>
      <c r="D138" s="18" t="inlineStr">
        <is>
          <t>12.7 Exceptions</t>
        </is>
      </c>
      <c r="E138" s="18" t="inlineStr">
        <is>
          <t>docs/scope/05-functional-specialised.md</t>
        </is>
      </c>
      <c r="F138" s="18" t="inlineStr">
        <is>
          <t>Recall of lot partially in transit</t>
        </is>
      </c>
      <c r="G138" s="18" t="inlineStr">
        <is>
          <t>Resolution: Carrier intercept request; flag shipments</t>
        </is>
      </c>
      <c r="H138" s="18" t="inlineStr">
        <is>
          <t>M</t>
        </is>
      </c>
      <c r="I138" s="18" t="n"/>
      <c r="J138" s="18" t="n"/>
      <c r="K138" s="18" t="inlineStr">
        <is>
          <t>TC-QM-EX-03-01</t>
        </is>
      </c>
      <c r="L138" s="18" t="inlineStr">
        <is>
          <t>Negative / exception scenario</t>
        </is>
      </c>
      <c r="M138" s="18" t="inlineStr">
        <is>
          <t>SIT; UAT</t>
        </is>
      </c>
      <c r="N138" s="18" t="inlineStr">
        <is>
          <t>Not Started</t>
        </is>
      </c>
      <c r="O138" s="18" t="n"/>
      <c r="P138" s="18" t="n"/>
      <c r="Q138" s="18" t="inlineStr">
        <is>
          <t>Priority defaulted to M (exception flow; see Legend)</t>
        </is>
      </c>
    </row>
    <row r="139">
      <c r="A139" s="18" t="inlineStr">
        <is>
          <t>MWH-001</t>
        </is>
      </c>
      <c r="B139" s="18" t="inlineStr">
        <is>
          <t>Requirement</t>
        </is>
      </c>
      <c r="C139" s="18" t="inlineStr">
        <is>
          <t>Multi-WH &amp; 3PL</t>
        </is>
      </c>
      <c r="D139" s="18" t="inlineStr">
        <is>
          <t>13.3 System Rules</t>
        </is>
      </c>
      <c r="E139" s="18" t="inlineStr">
        <is>
          <t>docs/scope/05-functional-specialised.md</t>
        </is>
      </c>
      <c r="F139" s="18" t="inlineStr">
        <is>
          <t>Cross-owner data access is impossible for owner-scoped users (enforced at data layer, not UI only).</t>
        </is>
      </c>
      <c r="G139" s="18" t="inlineStr">
        <is>
          <t>Rule/requirement enforced as stated (positive + negative case)</t>
        </is>
      </c>
      <c r="H139" s="18" t="inlineStr">
        <is>
          <t>M</t>
        </is>
      </c>
      <c r="I139" s="18" t="n"/>
      <c r="J139" s="18" t="n"/>
      <c r="K139" s="18" t="inlineStr">
        <is>
          <t>TC-MWH-001-01</t>
        </is>
      </c>
      <c r="L139" s="18" t="inlineStr">
        <is>
          <t>Functional (rule test harness + E2E scenario)</t>
        </is>
      </c>
      <c r="M139" s="18" t="inlineStr">
        <is>
          <t>SIT; UAT</t>
        </is>
      </c>
      <c r="N139" s="18" t="inlineStr">
        <is>
          <t>Not Started</t>
        </is>
      </c>
      <c r="O139" s="18" t="n"/>
      <c r="P139" s="18" t="n"/>
      <c r="Q139" s="18" t="inlineStr"/>
    </row>
    <row r="140">
      <c r="A140" s="18" t="inlineStr">
        <is>
          <t>MWH-002</t>
        </is>
      </c>
      <c r="B140" s="18" t="inlineStr">
        <is>
          <t>Requirement</t>
        </is>
      </c>
      <c r="C140" s="18" t="inlineStr">
        <is>
          <t>Multi-WH &amp; 3PL</t>
        </is>
      </c>
      <c r="D140" s="18" t="inlineStr">
        <is>
          <t>13.3 System Rules</t>
        </is>
      </c>
      <c r="E140" s="18" t="inlineStr">
        <is>
          <t>docs/scope/05-functional-specialised.md</t>
        </is>
      </c>
      <c r="F140" s="18" t="inlineStr">
        <is>
          <t>Mixed-owner LPN or location forbidden unless shared storage enabled; even then, inventory record carries single owner.</t>
        </is>
      </c>
      <c r="G140" s="18" t="inlineStr">
        <is>
          <t>Rule/requirement enforced as stated (positive + negative case)</t>
        </is>
      </c>
      <c r="H140" s="18" t="inlineStr">
        <is>
          <t>M</t>
        </is>
      </c>
      <c r="I140" s="18" t="n"/>
      <c r="J140" s="18" t="n"/>
      <c r="K140" s="18" t="inlineStr">
        <is>
          <t>TC-MWH-002-01</t>
        </is>
      </c>
      <c r="L140" s="18" t="inlineStr">
        <is>
          <t>Functional (rule test harness + E2E scenario)</t>
        </is>
      </c>
      <c r="M140" s="18" t="inlineStr">
        <is>
          <t>SIT; UAT</t>
        </is>
      </c>
      <c r="N140" s="18" t="inlineStr">
        <is>
          <t>Not Started</t>
        </is>
      </c>
      <c r="O140" s="18" t="n"/>
      <c r="P140" s="18" t="n"/>
      <c r="Q140" s="18" t="inlineStr"/>
    </row>
    <row r="141">
      <c r="A141" s="18" t="inlineStr">
        <is>
          <t>MWH-003</t>
        </is>
      </c>
      <c r="B141" s="18" t="inlineStr">
        <is>
          <t>Requirement</t>
        </is>
      </c>
      <c r="C141" s="18" t="inlineStr">
        <is>
          <t>Multi-WH &amp; 3PL</t>
        </is>
      </c>
      <c r="D141" s="18" t="inlineStr">
        <is>
          <t>13.3 System Rules</t>
        </is>
      </c>
      <c r="E141" s="18" t="inlineStr">
        <is>
          <t>docs/scope/05-functional-specialised.md</t>
        </is>
      </c>
      <c r="F141" s="18" t="inlineStr">
        <is>
          <t>Billing events are immutable; corrections are credit/debit adjustment events.</t>
        </is>
      </c>
      <c r="G141" s="18" t="inlineStr">
        <is>
          <t>Rule/requirement enforced as stated (positive + negative case)</t>
        </is>
      </c>
      <c r="H141" s="18" t="inlineStr">
        <is>
          <t>M</t>
        </is>
      </c>
      <c r="I141" s="18" t="n"/>
      <c r="J141" s="18" t="n"/>
      <c r="K141" s="18" t="inlineStr">
        <is>
          <t>TC-MWH-003-01</t>
        </is>
      </c>
      <c r="L141" s="18" t="inlineStr">
        <is>
          <t>Functional (rule test harness + E2E scenario)</t>
        </is>
      </c>
      <c r="M141" s="18" t="inlineStr">
        <is>
          <t>SIT; UAT</t>
        </is>
      </c>
      <c r="N141" s="18" t="inlineStr">
        <is>
          <t>Not Started</t>
        </is>
      </c>
      <c r="O141" s="18" t="n"/>
      <c r="P141" s="18" t="n"/>
      <c r="Q141" s="18" t="inlineStr"/>
    </row>
    <row r="142">
      <c r="A142" s="18" t="inlineStr">
        <is>
          <t>MWH-004</t>
        </is>
      </c>
      <c r="B142" s="18" t="inlineStr">
        <is>
          <t>Requirement</t>
        </is>
      </c>
      <c r="C142" s="18" t="inlineStr">
        <is>
          <t>Multi-WH &amp; 3PL</t>
        </is>
      </c>
      <c r="D142" s="18" t="inlineStr">
        <is>
          <t>13.3 System Rules</t>
        </is>
      </c>
      <c r="E142" s="18" t="inlineStr">
        <is>
          <t>docs/scope/05-functional-specialised.md</t>
        </is>
      </c>
      <c r="F142" s="18" t="inlineStr">
        <is>
          <t>Inter-site in-transit visible in both sites and reconciled against ERP in-transit stock.</t>
        </is>
      </c>
      <c r="G142" s="18" t="inlineStr">
        <is>
          <t>Rule/requirement enforced as stated (positive + negative case)</t>
        </is>
      </c>
      <c r="H142" s="18" t="inlineStr">
        <is>
          <t>M</t>
        </is>
      </c>
      <c r="I142" s="18" t="n"/>
      <c r="J142" s="18" t="n"/>
      <c r="K142" s="18" t="inlineStr">
        <is>
          <t>TC-MWH-004-01</t>
        </is>
      </c>
      <c r="L142" s="18" t="inlineStr">
        <is>
          <t>Functional (rule test harness + E2E scenario)</t>
        </is>
      </c>
      <c r="M142" s="18" t="inlineStr">
        <is>
          <t>SIT; UAT</t>
        </is>
      </c>
      <c r="N142" s="18" t="inlineStr">
        <is>
          <t>Not Started</t>
        </is>
      </c>
      <c r="O142" s="18" t="n"/>
      <c r="P142" s="18" t="n"/>
      <c r="Q142" s="18" t="inlineStr"/>
    </row>
    <row r="143">
      <c r="A143" s="18" t="inlineStr">
        <is>
          <t>MWH-005</t>
        </is>
      </c>
      <c r="B143" s="18" t="inlineStr">
        <is>
          <t>Requirement</t>
        </is>
      </c>
      <c r="C143" s="18" t="inlineStr">
        <is>
          <t>Multi-WH &amp; 3PL</t>
        </is>
      </c>
      <c r="D143" s="18" t="inlineStr">
        <is>
          <t>13.3 System Rules</t>
        </is>
      </c>
      <c r="E143" s="18" t="inlineStr">
        <is>
          <t>docs/scope/05-functional-specialised.md</t>
        </is>
      </c>
      <c r="F143" s="18" t="inlineStr">
        <is>
          <t>Onboarding of a new client is achievable via configuration only (no code), within 10 business days for a standard profile.</t>
        </is>
      </c>
      <c r="G143" s="18" t="inlineStr">
        <is>
          <t>Rule/requirement enforced as stated (positive + negative case)</t>
        </is>
      </c>
      <c r="H143" s="18" t="inlineStr">
        <is>
          <t>S</t>
        </is>
      </c>
      <c r="I143" s="18" t="n"/>
      <c r="J143" s="18" t="n"/>
      <c r="K143" s="18" t="inlineStr">
        <is>
          <t>TC-MWH-005-01</t>
        </is>
      </c>
      <c r="L143" s="18" t="inlineStr">
        <is>
          <t>Functional (rule test harness + E2E scenario)</t>
        </is>
      </c>
      <c r="M143" s="18" t="inlineStr">
        <is>
          <t>SIT; UAT</t>
        </is>
      </c>
      <c r="N143" s="18" t="inlineStr">
        <is>
          <t>Not Started</t>
        </is>
      </c>
      <c r="O143" s="18" t="n"/>
      <c r="P143" s="18" t="n"/>
      <c r="Q143" s="18" t="inlineStr"/>
    </row>
    <row r="144">
      <c r="A144" s="18" t="inlineStr">
        <is>
          <t>MWH-EX-01</t>
        </is>
      </c>
      <c r="B144" s="18" t="inlineStr">
        <is>
          <t>Exception</t>
        </is>
      </c>
      <c r="C144" s="18" t="inlineStr">
        <is>
          <t>Multi-WH &amp; 3PL</t>
        </is>
      </c>
      <c r="D144" s="18" t="inlineStr">
        <is>
          <t>13.4 Exceptions</t>
        </is>
      </c>
      <c r="E144" s="18" t="inlineStr">
        <is>
          <t>docs/scope/05-functional-specialised.md</t>
        </is>
      </c>
      <c r="F144" s="18" t="inlineStr">
        <is>
          <t>Inter-site shipment received short</t>
        </is>
      </c>
      <c r="G144" s="18" t="inlineStr">
        <is>
          <t>Resolution: Discrepancy recorded at receiving site; ERP in-transit difference; claim workflow</t>
        </is>
      </c>
      <c r="H144" s="18" t="inlineStr">
        <is>
          <t>M</t>
        </is>
      </c>
      <c r="I144" s="18" t="n"/>
      <c r="J144" s="18" t="n"/>
      <c r="K144" s="18" t="inlineStr">
        <is>
          <t>TC-MWH-EX-01-01</t>
        </is>
      </c>
      <c r="L144" s="18" t="inlineStr">
        <is>
          <t>Negative / exception scenario</t>
        </is>
      </c>
      <c r="M144" s="18" t="inlineStr">
        <is>
          <t>SIT; UAT</t>
        </is>
      </c>
      <c r="N144" s="18" t="inlineStr">
        <is>
          <t>Not Started</t>
        </is>
      </c>
      <c r="O144" s="18" t="n"/>
      <c r="P144" s="18" t="n"/>
      <c r="Q144" s="18" t="inlineStr">
        <is>
          <t>Priority defaulted to M (exception flow; see Legend)</t>
        </is>
      </c>
    </row>
    <row r="145">
      <c r="A145" s="18" t="inlineStr">
        <is>
          <t>MWH-EX-02</t>
        </is>
      </c>
      <c r="B145" s="18" t="inlineStr">
        <is>
          <t>Exception</t>
        </is>
      </c>
      <c r="C145" s="18" t="inlineStr">
        <is>
          <t>Multi-WH &amp; 3PL</t>
        </is>
      </c>
      <c r="D145" s="18" t="inlineStr">
        <is>
          <t>13.4 Exceptions</t>
        </is>
      </c>
      <c r="E145" s="18" t="inlineStr">
        <is>
          <t>docs/scope/05-functional-specialised.md</t>
        </is>
      </c>
      <c r="F145" s="18" t="inlineStr">
        <is>
          <t>Billing rate missing for event</t>
        </is>
      </c>
      <c r="G145" s="18" t="inlineStr">
        <is>
          <t>Resolution: Event held in UNRATED; account manager alert; invoice blocked until resolved</t>
        </is>
      </c>
      <c r="H145" s="18" t="inlineStr">
        <is>
          <t>M</t>
        </is>
      </c>
      <c r="I145" s="18" t="n"/>
      <c r="J145" s="18" t="n"/>
      <c r="K145" s="18" t="inlineStr">
        <is>
          <t>TC-MWH-EX-02-01</t>
        </is>
      </c>
      <c r="L145" s="18" t="inlineStr">
        <is>
          <t>Negative / exception scenario</t>
        </is>
      </c>
      <c r="M145" s="18" t="inlineStr">
        <is>
          <t>SIT; UAT</t>
        </is>
      </c>
      <c r="N145" s="18" t="inlineStr">
        <is>
          <t>Not Started</t>
        </is>
      </c>
      <c r="O145" s="18" t="n"/>
      <c r="P145" s="18" t="n"/>
      <c r="Q145" s="18" t="inlineStr">
        <is>
          <t>Priority defaulted to M (exception flow; see Legend)</t>
        </is>
      </c>
    </row>
    <row r="146">
      <c r="A146" s="18" t="inlineStr">
        <is>
          <t>MWH-EX-03</t>
        </is>
      </c>
      <c r="B146" s="18" t="inlineStr">
        <is>
          <t>Exception</t>
        </is>
      </c>
      <c r="C146" s="18" t="inlineStr">
        <is>
          <t>Multi-WH &amp; 3PL</t>
        </is>
      </c>
      <c r="D146" s="18" t="inlineStr">
        <is>
          <t>13.4 Exceptions</t>
        </is>
      </c>
      <c r="E146" s="18" t="inlineStr">
        <is>
          <t>docs/scope/05-functional-specialised.md</t>
        </is>
      </c>
      <c r="F146" s="18" t="inlineStr">
        <is>
          <t>Client master item conflict</t>
        </is>
      </c>
      <c r="G146" s="18" t="inlineStr">
        <is>
          <t>Resolution: Integration reject with explicit owner + item key error</t>
        </is>
      </c>
      <c r="H146" s="18" t="inlineStr">
        <is>
          <t>M</t>
        </is>
      </c>
      <c r="I146" s="18" t="n"/>
      <c r="J146" s="18" t="n"/>
      <c r="K146" s="18" t="inlineStr">
        <is>
          <t>TC-MWH-EX-03-01</t>
        </is>
      </c>
      <c r="L146" s="18" t="inlineStr">
        <is>
          <t>Negative / exception scenario</t>
        </is>
      </c>
      <c r="M146" s="18" t="inlineStr">
        <is>
          <t>SIT; UAT</t>
        </is>
      </c>
      <c r="N146" s="18" t="inlineStr">
        <is>
          <t>Not Started</t>
        </is>
      </c>
      <c r="O146" s="18" t="n"/>
      <c r="P146" s="18" t="n"/>
      <c r="Q146" s="18" t="inlineStr">
        <is>
          <t>Priority defaulted to M (exception flow; see Legend)</t>
        </is>
      </c>
    </row>
    <row r="147">
      <c r="A147" s="18" t="inlineStr">
        <is>
          <t>CCH-001</t>
        </is>
      </c>
      <c r="B147" s="18" t="inlineStr">
        <is>
          <t>Requirement</t>
        </is>
      </c>
      <c r="C147" s="18" t="inlineStr">
        <is>
          <t>Cold Chain &amp; HazMat</t>
        </is>
      </c>
      <c r="D147" s="18" t="inlineStr">
        <is>
          <t>14.3 System Rules</t>
        </is>
      </c>
      <c r="E147" s="18" t="inlineStr">
        <is>
          <t>docs/scope/05-functional-specialised.md</t>
        </is>
      </c>
      <c r="F147" s="18" t="inlineStr">
        <is>
          <t>Temperature class compatibility checks are hard constraints across putaway, replenishment, staging, and loading.</t>
        </is>
      </c>
      <c r="G147" s="18" t="inlineStr">
        <is>
          <t>Rule/requirement enforced as stated (positive + negative case)</t>
        </is>
      </c>
      <c r="H147" s="18" t="inlineStr">
        <is>
          <t>M</t>
        </is>
      </c>
      <c r="I147" s="18" t="n"/>
      <c r="J147" s="18" t="n"/>
      <c r="K147" s="18" t="inlineStr">
        <is>
          <t>TC-CCH-001-01</t>
        </is>
      </c>
      <c r="L147" s="18" t="inlineStr">
        <is>
          <t>Functional (rule test harness + E2E scenario)</t>
        </is>
      </c>
      <c r="M147" s="18" t="inlineStr">
        <is>
          <t>SIT; UAT</t>
        </is>
      </c>
      <c r="N147" s="18" t="inlineStr">
        <is>
          <t>Not Started</t>
        </is>
      </c>
      <c r="O147" s="18" t="n"/>
      <c r="P147" s="18" t="n"/>
      <c r="Q147" s="18" t="inlineStr"/>
    </row>
    <row r="148">
      <c r="A148" s="18" t="inlineStr">
        <is>
          <t>CCH-002</t>
        </is>
      </c>
      <c r="B148" s="18" t="inlineStr">
        <is>
          <t>Requirement</t>
        </is>
      </c>
      <c r="C148" s="18" t="inlineStr">
        <is>
          <t>Cold Chain &amp; HazMat</t>
        </is>
      </c>
      <c r="D148" s="18" t="inlineStr">
        <is>
          <t>14.3 System Rules</t>
        </is>
      </c>
      <c r="E148" s="18" t="inlineStr">
        <is>
          <t>docs/scope/05-functional-specialised.md</t>
        </is>
      </c>
      <c r="F148" s="18" t="inlineStr">
        <is>
          <t>TOR limit breach places LPN on automatic hold.</t>
        </is>
      </c>
      <c r="G148" s="18" t="inlineStr">
        <is>
          <t>Rule/requirement enforced as stated (positive + negative case)</t>
        </is>
      </c>
      <c r="H148" s="18" t="inlineStr">
        <is>
          <t>M</t>
        </is>
      </c>
      <c r="I148" s="18" t="n"/>
      <c r="J148" s="18" t="n"/>
      <c r="K148" s="18" t="inlineStr">
        <is>
          <t>TC-CCH-002-01</t>
        </is>
      </c>
      <c r="L148" s="18" t="inlineStr">
        <is>
          <t>Functional (rule test harness + E2E scenario)</t>
        </is>
      </c>
      <c r="M148" s="18" t="inlineStr">
        <is>
          <t>SIT; UAT</t>
        </is>
      </c>
      <c r="N148" s="18" t="inlineStr">
        <is>
          <t>Not Started</t>
        </is>
      </c>
      <c r="O148" s="18" t="n"/>
      <c r="P148" s="18" t="n"/>
      <c r="Q148" s="18" t="inlineStr"/>
    </row>
    <row r="149">
      <c r="A149" s="18" t="inlineStr">
        <is>
          <t>CCH-003</t>
        </is>
      </c>
      <c r="B149" s="18" t="inlineStr">
        <is>
          <t>Requirement</t>
        </is>
      </c>
      <c r="C149" s="18" t="inlineStr">
        <is>
          <t>Cold Chain &amp; HazMat</t>
        </is>
      </c>
      <c r="D149" s="18" t="inlineStr">
        <is>
          <t>14.3 System Rules</t>
        </is>
      </c>
      <c r="E149" s="18" t="inlineStr">
        <is>
          <t>docs/scope/05-functional-specialised.md</t>
        </is>
      </c>
      <c r="F149" s="18" t="inlineStr">
        <is>
          <t>DG segregation matrix enforced at putaway and trailer load.</t>
        </is>
      </c>
      <c r="G149" s="18" t="inlineStr">
        <is>
          <t>Rule/requirement enforced as stated (positive + negative case)</t>
        </is>
      </c>
      <c r="H149" s="18" t="inlineStr">
        <is>
          <t>M</t>
        </is>
      </c>
      <c r="I149" s="18" t="n"/>
      <c r="J149" s="18" t="n"/>
      <c r="K149" s="18" t="inlineStr">
        <is>
          <t>TC-CCH-003-01</t>
        </is>
      </c>
      <c r="L149" s="18" t="inlineStr">
        <is>
          <t>Functional (rule test harness + E2E scenario)</t>
        </is>
      </c>
      <c r="M149" s="18" t="inlineStr">
        <is>
          <t>SIT; UAT</t>
        </is>
      </c>
      <c r="N149" s="18" t="inlineStr">
        <is>
          <t>Not Started</t>
        </is>
      </c>
      <c r="O149" s="18" t="n"/>
      <c r="P149" s="18" t="n"/>
      <c r="Q149" s="18" t="inlineStr"/>
    </row>
    <row r="150">
      <c r="A150" s="18" t="inlineStr">
        <is>
          <t>CCH-004</t>
        </is>
      </c>
      <c r="B150" s="18" t="inlineStr">
        <is>
          <t>Requirement</t>
        </is>
      </c>
      <c r="C150" s="18" t="inlineStr">
        <is>
          <t>Cold Chain &amp; HazMat</t>
        </is>
      </c>
      <c r="D150" s="18" t="inlineStr">
        <is>
          <t>14.3 System Rules</t>
        </is>
      </c>
      <c r="E150" s="18" t="inlineStr">
        <is>
          <t>docs/scope/05-functional-specialised.md</t>
        </is>
      </c>
      <c r="F150" s="18" t="inlineStr">
        <is>
          <t>Compartment quantity limits enforced (aggregate kg/L per class per compartment).</t>
        </is>
      </c>
      <c r="G150" s="18" t="inlineStr">
        <is>
          <t>Rule/requirement enforced as stated (positive + negative case)</t>
        </is>
      </c>
      <c r="H150" s="18" t="inlineStr">
        <is>
          <t>M</t>
        </is>
      </c>
      <c r="I150" s="18" t="n"/>
      <c r="J150" s="18" t="n"/>
      <c r="K150" s="18" t="inlineStr">
        <is>
          <t>TC-CCH-004-01</t>
        </is>
      </c>
      <c r="L150" s="18" t="inlineStr">
        <is>
          <t>Functional (rule test harness + E2E scenario)</t>
        </is>
      </c>
      <c r="M150" s="18" t="inlineStr">
        <is>
          <t>SIT; UAT</t>
        </is>
      </c>
      <c r="N150" s="18" t="inlineStr">
        <is>
          <t>Not Started</t>
        </is>
      </c>
      <c r="O150" s="18" t="n"/>
      <c r="P150" s="18" t="n"/>
      <c r="Q150" s="18" t="inlineStr"/>
    </row>
    <row r="151">
      <c r="A151" s="18" t="inlineStr">
        <is>
          <t>CCH-005</t>
        </is>
      </c>
      <c r="B151" s="18" t="inlineStr">
        <is>
          <t>Requirement</t>
        </is>
      </c>
      <c r="C151" s="18" t="inlineStr">
        <is>
          <t>Cold Chain &amp; HazMat</t>
        </is>
      </c>
      <c r="D151" s="18" t="inlineStr">
        <is>
          <t>14.3 System Rules</t>
        </is>
      </c>
      <c r="E151" s="18" t="inlineStr">
        <is>
          <t>docs/scope/05-functional-specialised.md</t>
        </is>
      </c>
      <c r="F151" s="18" t="inlineStr">
        <is>
          <t>DG tasks only assignable to certified users.</t>
        </is>
      </c>
      <c r="G151" s="18" t="inlineStr">
        <is>
          <t>Rule/requirement enforced as stated (positive + negative case)</t>
        </is>
      </c>
      <c r="H151" s="18" t="inlineStr">
        <is>
          <t>M</t>
        </is>
      </c>
      <c r="I151" s="18" t="n"/>
      <c r="J151" s="18" t="n"/>
      <c r="K151" s="18" t="inlineStr">
        <is>
          <t>TC-CCH-005-01</t>
        </is>
      </c>
      <c r="L151" s="18" t="inlineStr">
        <is>
          <t>Functional (rule test harness + E2E scenario)</t>
        </is>
      </c>
      <c r="M151" s="18" t="inlineStr">
        <is>
          <t>SIT; UAT</t>
        </is>
      </c>
      <c r="N151" s="18" t="inlineStr">
        <is>
          <t>Not Started</t>
        </is>
      </c>
      <c r="O151" s="18" t="n"/>
      <c r="P151" s="18" t="n"/>
      <c r="Q151" s="18" t="inlineStr"/>
    </row>
    <row r="152">
      <c r="A152" s="18" t="inlineStr">
        <is>
          <t>CCH-006</t>
        </is>
      </c>
      <c r="B152" s="18" t="inlineStr">
        <is>
          <t>Requirement</t>
        </is>
      </c>
      <c r="C152" s="18" t="inlineStr">
        <is>
          <t>Cold Chain &amp; HazMat</t>
        </is>
      </c>
      <c r="D152" s="18" t="inlineStr">
        <is>
          <t>14.3 System Rules</t>
        </is>
      </c>
      <c r="E152" s="18" t="inlineStr">
        <is>
          <t>docs/scope/05-functional-specialised.md</t>
        </is>
      </c>
      <c r="F152" s="18" t="inlineStr">
        <is>
          <t>Excursion data (sensor series) retained for product shelf life + 1 year minimum.</t>
        </is>
      </c>
      <c r="G152" s="18" t="inlineStr">
        <is>
          <t>Rule/requirement enforced as stated (positive + negative case)</t>
        </is>
      </c>
      <c r="H152" s="18" t="inlineStr">
        <is>
          <t>M</t>
        </is>
      </c>
      <c r="I152" s="18" t="n"/>
      <c r="J152" s="18" t="n"/>
      <c r="K152" s="18" t="inlineStr">
        <is>
          <t>TC-CCH-006-01</t>
        </is>
      </c>
      <c r="L152" s="18" t="inlineStr">
        <is>
          <t>Functional (rule test harness + E2E scenario)</t>
        </is>
      </c>
      <c r="M152" s="18" t="inlineStr">
        <is>
          <t>SIT; UAT</t>
        </is>
      </c>
      <c r="N152" s="18" t="inlineStr">
        <is>
          <t>Not Started</t>
        </is>
      </c>
      <c r="O152" s="18" t="n"/>
      <c r="P152" s="18" t="n"/>
      <c r="Q152" s="18" t="inlineStr"/>
    </row>
    <row r="153">
      <c r="A153" s="18" t="inlineStr">
        <is>
          <t>CCH-EX-01</t>
        </is>
      </c>
      <c r="B153" s="18" t="inlineStr">
        <is>
          <t>Exception</t>
        </is>
      </c>
      <c r="C153" s="18" t="inlineStr">
        <is>
          <t>Cold Chain &amp; HazMat</t>
        </is>
      </c>
      <c r="D153" s="18" t="inlineStr">
        <is>
          <t>14.4 Exceptions</t>
        </is>
      </c>
      <c r="E153" s="18" t="inlineStr">
        <is>
          <t>docs/scope/05-functional-specialised.md</t>
        </is>
      </c>
      <c r="F153" s="18" t="inlineStr">
        <is>
          <t>Room temperature excursion</t>
        </is>
      </c>
      <c r="G153" s="18" t="inlineStr">
        <is>
          <t>Resolution: Auto-hold all LPNs in area during excursion window; QA workflow; facilities alert</t>
        </is>
      </c>
      <c r="H153" s="18" t="inlineStr">
        <is>
          <t>M</t>
        </is>
      </c>
      <c r="I153" s="18" t="n"/>
      <c r="J153" s="18" t="n"/>
      <c r="K153" s="18" t="inlineStr">
        <is>
          <t>TC-CCH-EX-01-01</t>
        </is>
      </c>
      <c r="L153" s="18" t="inlineStr">
        <is>
          <t>Negative / exception scenario</t>
        </is>
      </c>
      <c r="M153" s="18" t="inlineStr">
        <is>
          <t>SIT; UAT</t>
        </is>
      </c>
      <c r="N153" s="18" t="inlineStr">
        <is>
          <t>Not Started</t>
        </is>
      </c>
      <c r="O153" s="18" t="n"/>
      <c r="P153" s="18" t="n"/>
      <c r="Q153" s="18" t="inlineStr">
        <is>
          <t>Priority defaulted to M (exception flow; see Legend)</t>
        </is>
      </c>
    </row>
    <row r="154">
      <c r="A154" s="18" t="inlineStr">
        <is>
          <t>CCH-EX-02</t>
        </is>
      </c>
      <c r="B154" s="18" t="inlineStr">
        <is>
          <t>Exception</t>
        </is>
      </c>
      <c r="C154" s="18" t="inlineStr">
        <is>
          <t>Cold Chain &amp; HazMat</t>
        </is>
      </c>
      <c r="D154" s="18" t="inlineStr">
        <is>
          <t>14.4 Exceptions</t>
        </is>
      </c>
      <c r="E154" s="18" t="inlineStr">
        <is>
          <t>docs/scope/05-functional-specialised.md</t>
        </is>
      </c>
      <c r="F154" s="18" t="inlineStr">
        <is>
          <t>Sensor offline</t>
        </is>
      </c>
      <c r="G154" s="18" t="inlineStr">
        <is>
          <t>Resolution: Alert; manual reading task every N minutes until restored; data gap documented</t>
        </is>
      </c>
      <c r="H154" s="18" t="inlineStr">
        <is>
          <t>M</t>
        </is>
      </c>
      <c r="I154" s="18" t="n"/>
      <c r="J154" s="18" t="n"/>
      <c r="K154" s="18" t="inlineStr">
        <is>
          <t>TC-CCH-EX-02-01</t>
        </is>
      </c>
      <c r="L154" s="18" t="inlineStr">
        <is>
          <t>Negative / exception scenario</t>
        </is>
      </c>
      <c r="M154" s="18" t="inlineStr">
        <is>
          <t>SIT; UAT</t>
        </is>
      </c>
      <c r="N154" s="18" t="inlineStr">
        <is>
          <t>Not Started</t>
        </is>
      </c>
      <c r="O154" s="18" t="n"/>
      <c r="P154" s="18" t="n"/>
      <c r="Q154" s="18" t="inlineStr">
        <is>
          <t>Priority defaulted to M (exception flow; see Legend)</t>
        </is>
      </c>
    </row>
    <row r="155">
      <c r="A155" s="18" t="inlineStr">
        <is>
          <t>CCH-EX-03</t>
        </is>
      </c>
      <c r="B155" s="18" t="inlineStr">
        <is>
          <t>Exception</t>
        </is>
      </c>
      <c r="C155" s="18" t="inlineStr">
        <is>
          <t>Cold Chain &amp; HazMat</t>
        </is>
      </c>
      <c r="D155" s="18" t="inlineStr">
        <is>
          <t>14.4 Exceptions</t>
        </is>
      </c>
      <c r="E155" s="18" t="inlineStr">
        <is>
          <t>docs/scope/05-functional-specialised.md</t>
        </is>
      </c>
      <c r="F155" s="18" t="inlineStr">
        <is>
          <t>DG compartment limit reached</t>
        </is>
      </c>
      <c r="G155" s="18" t="inlineStr">
        <is>
          <t>Resolution: Putaway redirected; if none, receipt hold</t>
        </is>
      </c>
      <c r="H155" s="18" t="inlineStr">
        <is>
          <t>M</t>
        </is>
      </c>
      <c r="I155" s="18" t="n"/>
      <c r="J155" s="18" t="n"/>
      <c r="K155" s="18" t="inlineStr">
        <is>
          <t>TC-CCH-EX-03-01</t>
        </is>
      </c>
      <c r="L155" s="18" t="inlineStr">
        <is>
          <t>Negative / exception scenario</t>
        </is>
      </c>
      <c r="M155" s="18" t="inlineStr">
        <is>
          <t>SIT; UAT</t>
        </is>
      </c>
      <c r="N155" s="18" t="inlineStr">
        <is>
          <t>Not Started</t>
        </is>
      </c>
      <c r="O155" s="18" t="n"/>
      <c r="P155" s="18" t="n"/>
      <c r="Q155" s="18" t="inlineStr">
        <is>
          <t>Priority defaulted to M (exception flow; see Legend)</t>
        </is>
      </c>
    </row>
    <row r="156">
      <c r="A156" s="18" t="inlineStr">
        <is>
          <t>CCH-EX-04</t>
        </is>
      </c>
      <c r="B156" s="18" t="inlineStr">
        <is>
          <t>Exception</t>
        </is>
      </c>
      <c r="C156" s="18" t="inlineStr">
        <is>
          <t>Cold Chain &amp; HazMat</t>
        </is>
      </c>
      <c r="D156" s="18" t="inlineStr">
        <is>
          <t>14.4 Exceptions</t>
        </is>
      </c>
      <c r="E156" s="18" t="inlineStr">
        <is>
          <t>docs/scope/05-functional-specialised.md</t>
        </is>
      </c>
      <c r="F156" s="18" t="inlineStr">
        <is>
          <t>Carrier rejects DG</t>
        </is>
      </c>
      <c r="G156" s="18" t="inlineStr">
        <is>
          <t>Resolution: Re-route per DG service rules</t>
        </is>
      </c>
      <c r="H156" s="18" t="inlineStr">
        <is>
          <t>M</t>
        </is>
      </c>
      <c r="I156" s="18" t="n"/>
      <c r="J156" s="18" t="n"/>
      <c r="K156" s="18" t="inlineStr">
        <is>
          <t>TC-CCH-EX-04-01</t>
        </is>
      </c>
      <c r="L156" s="18" t="inlineStr">
        <is>
          <t>Negative / exception scenario</t>
        </is>
      </c>
      <c r="M156" s="18" t="inlineStr">
        <is>
          <t>SIT; UAT</t>
        </is>
      </c>
      <c r="N156" s="18" t="inlineStr">
        <is>
          <t>Not Started</t>
        </is>
      </c>
      <c r="O156" s="18" t="n"/>
      <c r="P156" s="18" t="n"/>
      <c r="Q156" s="18" t="inlineStr">
        <is>
          <t>Priority defaulted to M (exception flow; see Legend)</t>
        </is>
      </c>
    </row>
    <row r="157">
      <c r="A157" s="18" t="inlineStr">
        <is>
          <t>CCH-EX-05</t>
        </is>
      </c>
      <c r="B157" s="18" t="inlineStr">
        <is>
          <t>Exception</t>
        </is>
      </c>
      <c r="C157" s="18" t="inlineStr">
        <is>
          <t>Cold Chain &amp; HazMat</t>
        </is>
      </c>
      <c r="D157" s="18" t="inlineStr">
        <is>
          <t>14.4 Exceptions</t>
        </is>
      </c>
      <c r="E157" s="18" t="inlineStr">
        <is>
          <t>docs/scope/05-functional-specialised.md</t>
        </is>
      </c>
      <c r="F157" s="18" t="inlineStr">
        <is>
          <t>Uncertified user attempts DG task</t>
        </is>
      </c>
      <c r="G157" s="18" t="inlineStr">
        <is>
          <t>Resolution: Task blocked; supervisor notified</t>
        </is>
      </c>
      <c r="H157" s="18" t="inlineStr">
        <is>
          <t>M</t>
        </is>
      </c>
      <c r="I157" s="18" t="n"/>
      <c r="J157" s="18" t="n"/>
      <c r="K157" s="18" t="inlineStr">
        <is>
          <t>TC-CCH-EX-05-01</t>
        </is>
      </c>
      <c r="L157" s="18" t="inlineStr">
        <is>
          <t>Negative / exception scenario</t>
        </is>
      </c>
      <c r="M157" s="18" t="inlineStr">
        <is>
          <t>SIT; UAT</t>
        </is>
      </c>
      <c r="N157" s="18" t="inlineStr">
        <is>
          <t>Not Started</t>
        </is>
      </c>
      <c r="O157" s="18" t="n"/>
      <c r="P157" s="18" t="n"/>
      <c r="Q157" s="18" t="inlineStr">
        <is>
          <t>Priority defaulted to M (exception flow; see Legend)</t>
        </is>
      </c>
    </row>
    <row r="158">
      <c r="A158" s="18" t="inlineStr">
        <is>
          <t>ADV-001</t>
        </is>
      </c>
      <c r="B158" s="18" t="inlineStr">
        <is>
          <t>Requirement</t>
        </is>
      </c>
      <c r="C158" s="18" t="inlineStr">
        <is>
          <t>Advanced Features</t>
        </is>
      </c>
      <c r="D158" s="18" t="inlineStr">
        <is>
          <t>C.1 Slotting &amp; Optimisation Engine</t>
        </is>
      </c>
      <c r="E158" s="18" t="inlineStr">
        <is>
          <t>docs/scope/06-advanced-features.md</t>
        </is>
      </c>
      <c r="F158" s="18" t="inlineStr">
        <is>
          <t>Weekly automated slotting recommendations with approval workflow</t>
        </is>
      </c>
      <c r="G158" s="18" t="inlineStr">
        <is>
          <t>Rule/requirement enforced as stated (positive + negative case)</t>
        </is>
      </c>
      <c r="H158" s="18" t="inlineStr">
        <is>
          <t>S</t>
        </is>
      </c>
      <c r="I158" s="18" t="n"/>
      <c r="J158" s="18" t="n"/>
      <c r="K158" s="18" t="inlineStr">
        <is>
          <t>TC-ADV-001-01</t>
        </is>
      </c>
      <c r="L158" s="18" t="inlineStr">
        <is>
          <t>Functional (rule test harness + E2E scenario)</t>
        </is>
      </c>
      <c r="M158" s="18" t="inlineStr">
        <is>
          <t>SIT; UAT</t>
        </is>
      </c>
      <c r="N158" s="18" t="inlineStr">
        <is>
          <t>Not Started</t>
        </is>
      </c>
      <c r="O158" s="18" t="n"/>
      <c r="P158" s="18" t="n"/>
      <c r="Q158" s="18" t="inlineStr"/>
    </row>
    <row r="159">
      <c r="A159" s="18" t="inlineStr">
        <is>
          <t>ADV-002</t>
        </is>
      </c>
      <c r="B159" s="18" t="inlineStr">
        <is>
          <t>Requirement</t>
        </is>
      </c>
      <c r="C159" s="18" t="inlineStr">
        <is>
          <t>Advanced Features</t>
        </is>
      </c>
      <c r="D159" s="18" t="inlineStr">
        <is>
          <t>C.1 Slotting &amp; Optimisation Engine</t>
        </is>
      </c>
      <c r="E159" s="18" t="inlineStr">
        <is>
          <t>docs/scope/06-advanced-features.md</t>
        </is>
      </c>
      <c r="F159" s="18" t="inlineStr">
        <is>
          <t>Constraint-aware (hard constraints never violated)</t>
        </is>
      </c>
      <c r="G159" s="18" t="inlineStr">
        <is>
          <t>Rule/requirement enforced as stated (positive + negative case)</t>
        </is>
      </c>
      <c r="H159" s="18" t="inlineStr">
        <is>
          <t>M</t>
        </is>
      </c>
      <c r="I159" s="18" t="n"/>
      <c r="J159" s="18" t="n"/>
      <c r="K159" s="18" t="inlineStr">
        <is>
          <t>TC-ADV-002-01</t>
        </is>
      </c>
      <c r="L159" s="18" t="inlineStr">
        <is>
          <t>Functional (rule test harness + E2E scenario)</t>
        </is>
      </c>
      <c r="M159" s="18" t="inlineStr">
        <is>
          <t>SIT; UAT</t>
        </is>
      </c>
      <c r="N159" s="18" t="inlineStr">
        <is>
          <t>Not Started</t>
        </is>
      </c>
      <c r="O159" s="18" t="n"/>
      <c r="P159" s="18" t="n"/>
      <c r="Q159" s="18" t="inlineStr"/>
    </row>
    <row r="160">
      <c r="A160" s="18" t="inlineStr">
        <is>
          <t>ADV-003</t>
        </is>
      </c>
      <c r="B160" s="18" t="inlineStr">
        <is>
          <t>Requirement</t>
        </is>
      </c>
      <c r="C160" s="18" t="inlineStr">
        <is>
          <t>Advanced Features</t>
        </is>
      </c>
      <c r="D160" s="18" t="inlineStr">
        <is>
          <t>C.1 Slotting &amp; Optimisation Engine</t>
        </is>
      </c>
      <c r="E160" s="18" t="inlineStr">
        <is>
          <t>docs/scope/06-advanced-features.md</t>
        </is>
      </c>
      <c r="F160" s="18" t="inlineStr">
        <is>
          <t>Move plan executable as system tasks with before/after KPI tracking</t>
        </is>
      </c>
      <c r="G160" s="18" t="inlineStr">
        <is>
          <t>Rule/requirement enforced as stated (positive + negative case)</t>
        </is>
      </c>
      <c r="H160" s="18" t="inlineStr">
        <is>
          <t>S</t>
        </is>
      </c>
      <c r="I160" s="18" t="n"/>
      <c r="J160" s="18" t="n"/>
      <c r="K160" s="18" t="inlineStr">
        <is>
          <t>TC-ADV-003-01</t>
        </is>
      </c>
      <c r="L160" s="18" t="inlineStr">
        <is>
          <t>Functional (rule test harness + E2E scenario)</t>
        </is>
      </c>
      <c r="M160" s="18" t="inlineStr">
        <is>
          <t>SIT; UAT</t>
        </is>
      </c>
      <c r="N160" s="18" t="inlineStr">
        <is>
          <t>Not Started</t>
        </is>
      </c>
      <c r="O160" s="18" t="n"/>
      <c r="P160" s="18" t="n"/>
      <c r="Q160" s="18" t="inlineStr"/>
    </row>
    <row r="161">
      <c r="A161" s="18" t="inlineStr">
        <is>
          <t>ADV-010</t>
        </is>
      </c>
      <c r="B161" s="18" t="inlineStr">
        <is>
          <t>Requirement</t>
        </is>
      </c>
      <c r="C161" s="18" t="inlineStr">
        <is>
          <t>Advanced Features</t>
        </is>
      </c>
      <c r="D161" s="18" t="inlineStr">
        <is>
          <t>C.2 Labor Management System (LMS)</t>
        </is>
      </c>
      <c r="E161" s="18" t="inlineStr">
        <is>
          <t>docs/scope/06-advanced-features.md</t>
        </is>
      </c>
      <c r="F161" s="18" t="inlineStr">
        <is>
          <t>Discrete engineered standards for all RF task types</t>
        </is>
      </c>
      <c r="G161" s="18" t="inlineStr">
        <is>
          <t>Rule/requirement enforced as stated (positive + negative case)</t>
        </is>
      </c>
      <c r="H161" s="18" t="inlineStr">
        <is>
          <t>S</t>
        </is>
      </c>
      <c r="I161" s="18" t="n"/>
      <c r="J161" s="18" t="n"/>
      <c r="K161" s="18" t="inlineStr">
        <is>
          <t>TC-ADV-010-01</t>
        </is>
      </c>
      <c r="L161" s="18" t="inlineStr">
        <is>
          <t>Functional (rule test harness + E2E scenario)</t>
        </is>
      </c>
      <c r="M161" s="18" t="inlineStr">
        <is>
          <t>SIT; UAT</t>
        </is>
      </c>
      <c r="N161" s="18" t="inlineStr">
        <is>
          <t>Not Started</t>
        </is>
      </c>
      <c r="O161" s="18" t="n"/>
      <c r="P161" s="18" t="n"/>
      <c r="Q161" s="18" t="inlineStr"/>
    </row>
    <row r="162">
      <c r="A162" s="18" t="inlineStr">
        <is>
          <t>ADV-011</t>
        </is>
      </c>
      <c r="B162" s="18" t="inlineStr">
        <is>
          <t>Requirement</t>
        </is>
      </c>
      <c r="C162" s="18" t="inlineStr">
        <is>
          <t>Advanced Features</t>
        </is>
      </c>
      <c r="D162" s="18" t="inlineStr">
        <is>
          <t>C.2 Labor Management System (LMS)</t>
        </is>
      </c>
      <c r="E162" s="18" t="inlineStr">
        <is>
          <t>docs/scope/06-advanced-features.md</t>
        </is>
      </c>
      <c r="F162" s="18" t="inlineStr">
        <is>
          <t>Real-time operator performance dashboard</t>
        </is>
      </c>
      <c r="G162" s="18" t="inlineStr">
        <is>
          <t>Rule/requirement enforced as stated (positive + negative case)</t>
        </is>
      </c>
      <c r="H162" s="18" t="inlineStr">
        <is>
          <t>S</t>
        </is>
      </c>
      <c r="I162" s="18" t="n"/>
      <c r="J162" s="18" t="n"/>
      <c r="K162" s="18" t="inlineStr">
        <is>
          <t>TC-ADV-011-01</t>
        </is>
      </c>
      <c r="L162" s="18" t="inlineStr">
        <is>
          <t>Functional (rule test harness + E2E scenario)</t>
        </is>
      </c>
      <c r="M162" s="18" t="inlineStr">
        <is>
          <t>SIT; UAT</t>
        </is>
      </c>
      <c r="N162" s="18" t="inlineStr">
        <is>
          <t>Not Started</t>
        </is>
      </c>
      <c r="O162" s="18" t="n"/>
      <c r="P162" s="18" t="n"/>
      <c r="Q162" s="18" t="inlineStr"/>
    </row>
    <row r="163">
      <c r="A163" s="18" t="inlineStr">
        <is>
          <t>ADV-012</t>
        </is>
      </c>
      <c r="B163" s="18" t="inlineStr">
        <is>
          <t>Requirement</t>
        </is>
      </c>
      <c r="C163" s="18" t="inlineStr">
        <is>
          <t>Advanced Features</t>
        </is>
      </c>
      <c r="D163" s="18" t="inlineStr">
        <is>
          <t>C.2 Labor Management System (LMS)</t>
        </is>
      </c>
      <c r="E163" s="18" t="inlineStr">
        <is>
          <t>docs/scope/06-advanced-features.md</t>
        </is>
      </c>
      <c r="F163" s="18" t="inlineStr">
        <is>
          <t>Labor planning by shift/hour from backlog and forecast</t>
        </is>
      </c>
      <c r="G163" s="18" t="inlineStr">
        <is>
          <t>Rule/requirement enforced as stated (positive + negative case)</t>
        </is>
      </c>
      <c r="H163" s="18" t="inlineStr">
        <is>
          <t>S</t>
        </is>
      </c>
      <c r="I163" s="18" t="n"/>
      <c r="J163" s="18" t="n"/>
      <c r="K163" s="18" t="inlineStr">
        <is>
          <t>TC-ADV-012-01</t>
        </is>
      </c>
      <c r="L163" s="18" t="inlineStr">
        <is>
          <t>Functional (rule test harness + E2E scenario)</t>
        </is>
      </c>
      <c r="M163" s="18" t="inlineStr">
        <is>
          <t>SIT; UAT</t>
        </is>
      </c>
      <c r="N163" s="18" t="inlineStr">
        <is>
          <t>Not Started</t>
        </is>
      </c>
      <c r="O163" s="18" t="n"/>
      <c r="P163" s="18" t="n"/>
      <c r="Q163" s="18" t="inlineStr"/>
    </row>
    <row r="164">
      <c r="A164" s="18" t="inlineStr">
        <is>
          <t>ADV-013</t>
        </is>
      </c>
      <c r="B164" s="18" t="inlineStr">
        <is>
          <t>Requirement</t>
        </is>
      </c>
      <c r="C164" s="18" t="inlineStr">
        <is>
          <t>Advanced Features</t>
        </is>
      </c>
      <c r="D164" s="18" t="inlineStr">
        <is>
          <t>C.2 Labor Management System (LMS)</t>
        </is>
      </c>
      <c r="E164" s="18" t="inlineStr">
        <is>
          <t>docs/scope/06-advanced-features.md</t>
        </is>
      </c>
      <c r="F164" s="18" t="inlineStr">
        <is>
          <t>Works council / privacy configuration: aggregation-only mode where individual tracking is legally restricted (e.g., DE, FR)</t>
        </is>
      </c>
      <c r="G164" s="18" t="inlineStr">
        <is>
          <t>Rule/requirement enforced as stated (positive + negative case)</t>
        </is>
      </c>
      <c r="H164" s="18" t="inlineStr">
        <is>
          <t>M</t>
        </is>
      </c>
      <c r="I164" s="18" t="n"/>
      <c r="J164" s="18" t="n"/>
      <c r="K164" s="18" t="inlineStr">
        <is>
          <t>TC-ADV-013-01</t>
        </is>
      </c>
      <c r="L164" s="18" t="inlineStr">
        <is>
          <t>Functional (rule test harness + E2E scenario)</t>
        </is>
      </c>
      <c r="M164" s="18" t="inlineStr">
        <is>
          <t>SIT; UAT</t>
        </is>
      </c>
      <c r="N164" s="18" t="inlineStr">
        <is>
          <t>Not Started</t>
        </is>
      </c>
      <c r="O164" s="18" t="n"/>
      <c r="P164" s="18" t="n"/>
      <c r="Q164" s="18" t="inlineStr"/>
    </row>
    <row r="165">
      <c r="A165" s="18" t="inlineStr">
        <is>
          <t>ADV-020</t>
        </is>
      </c>
      <c r="B165" s="18" t="inlineStr">
        <is>
          <t>Requirement</t>
        </is>
      </c>
      <c r="C165" s="18" t="inlineStr">
        <is>
          <t>Advanced Features</t>
        </is>
      </c>
      <c r="D165" s="18" t="inlineStr">
        <is>
          <t>C.3 Task Interleaving Algorithms</t>
        </is>
      </c>
      <c r="E165" s="18" t="inlineStr">
        <is>
          <t>docs/scope/06-advanced-features.md</t>
        </is>
      </c>
      <c r="F165" s="18" t="inlineStr">
        <is>
          <t>Configurable interleaving by equipment class and zone</t>
        </is>
      </c>
      <c r="G165" s="18" t="inlineStr">
        <is>
          <t>Rule/requirement enforced as stated (positive + negative case)</t>
        </is>
      </c>
      <c r="H165" s="18" t="inlineStr">
        <is>
          <t>S</t>
        </is>
      </c>
      <c r="I165" s="18" t="n"/>
      <c r="J165" s="18" t="n"/>
      <c r="K165" s="18" t="inlineStr">
        <is>
          <t>TC-ADV-020-01</t>
        </is>
      </c>
      <c r="L165" s="18" t="inlineStr">
        <is>
          <t>Functional (rule test harness + E2E scenario)</t>
        </is>
      </c>
      <c r="M165" s="18" t="inlineStr">
        <is>
          <t>SIT; UAT</t>
        </is>
      </c>
      <c r="N165" s="18" t="inlineStr">
        <is>
          <t>Not Started</t>
        </is>
      </c>
      <c r="O165" s="18" t="n"/>
      <c r="P165" s="18" t="n"/>
      <c r="Q165" s="18" t="inlineStr"/>
    </row>
    <row r="166">
      <c r="A166" s="18" t="inlineStr">
        <is>
          <t>ADV-021</t>
        </is>
      </c>
      <c r="B166" s="18" t="inlineStr">
        <is>
          <t>Requirement</t>
        </is>
      </c>
      <c r="C166" s="18" t="inlineStr">
        <is>
          <t>Advanced Features</t>
        </is>
      </c>
      <c r="D166" s="18" t="inlineStr">
        <is>
          <t>C.3 Task Interleaving Algorithms</t>
        </is>
      </c>
      <c r="E166" s="18" t="inlineStr">
        <is>
          <t>docs/scope/06-advanced-features.md</t>
        </is>
      </c>
      <c r="F166" s="18" t="inlineStr">
        <is>
          <t>Task selection latency ≤ 300 ms p95 with ≥ 50,000 open tasks</t>
        </is>
      </c>
      <c r="G166" s="18" t="inlineStr">
        <is>
          <t>Rule/requirement enforced as stated (positive + negative case)</t>
        </is>
      </c>
      <c r="H166" s="18" t="inlineStr">
        <is>
          <t>M</t>
        </is>
      </c>
      <c r="I166" s="18" t="n"/>
      <c r="J166" s="18" t="n"/>
      <c r="K166" s="18" t="inlineStr">
        <is>
          <t>TC-ADV-021-01</t>
        </is>
      </c>
      <c r="L166" s="18" t="inlineStr">
        <is>
          <t>Performance</t>
        </is>
      </c>
      <c r="M166" s="18" t="inlineStr">
        <is>
          <t>PERF</t>
        </is>
      </c>
      <c r="N166" s="18" t="inlineStr">
        <is>
          <t>Not Started</t>
        </is>
      </c>
      <c r="O166" s="18" t="n"/>
      <c r="P166" s="18" t="n"/>
      <c r="Q166" s="18" t="inlineStr"/>
    </row>
    <row r="167">
      <c r="A167" s="18" t="inlineStr">
        <is>
          <t>ADV-030</t>
        </is>
      </c>
      <c r="B167" s="18" t="inlineStr">
        <is>
          <t>Requirement</t>
        </is>
      </c>
      <c r="C167" s="18" t="inlineStr">
        <is>
          <t>Advanced Features</t>
        </is>
      </c>
      <c r="D167" s="18" t="inlineStr">
        <is>
          <t>C.4 Wave Planning Engine</t>
        </is>
      </c>
      <c r="E167" s="18" t="inlineStr">
        <is>
          <t>docs/scope/06-advanced-features.md</t>
        </is>
      </c>
      <c r="F167" s="18" t="inlineStr">
        <is>
          <t>Wave templates with simulation ("plan wave" preview without release)</t>
        </is>
      </c>
      <c r="G167" s="18" t="inlineStr">
        <is>
          <t>Rule/requirement enforced as stated (positive + negative case)</t>
        </is>
      </c>
      <c r="H167" s="18" t="inlineStr">
        <is>
          <t>M</t>
        </is>
      </c>
      <c r="I167" s="18" t="n"/>
      <c r="J167" s="18" t="n"/>
      <c r="K167" s="18" t="inlineStr">
        <is>
          <t>TC-ADV-030-01</t>
        </is>
      </c>
      <c r="L167" s="18" t="inlineStr">
        <is>
          <t>Functional (rule test harness + E2E scenario)</t>
        </is>
      </c>
      <c r="M167" s="18" t="inlineStr">
        <is>
          <t>SIT; UAT</t>
        </is>
      </c>
      <c r="N167" s="18" t="inlineStr">
        <is>
          <t>Not Started</t>
        </is>
      </c>
      <c r="O167" s="18" t="n"/>
      <c r="P167" s="18" t="n"/>
      <c r="Q167" s="18" t="inlineStr"/>
    </row>
    <row r="168">
      <c r="A168" s="18" t="inlineStr">
        <is>
          <t>ADV-031</t>
        </is>
      </c>
      <c r="B168" s="18" t="inlineStr">
        <is>
          <t>Requirement</t>
        </is>
      </c>
      <c r="C168" s="18" t="inlineStr">
        <is>
          <t>Advanced Features</t>
        </is>
      </c>
      <c r="D168" s="18" t="inlineStr">
        <is>
          <t>C.4 Wave Planning Engine</t>
        </is>
      </c>
      <c r="E168" s="18" t="inlineStr">
        <is>
          <t>docs/scope/06-advanced-features.md</t>
        </is>
      </c>
      <c r="F168" s="18" t="inlineStr">
        <is>
          <t>Waveless release with WIP-based throttling</t>
        </is>
      </c>
      <c r="G168" s="18" t="inlineStr">
        <is>
          <t>Rule/requirement enforced as stated (positive + negative case)</t>
        </is>
      </c>
      <c r="H168" s="18" t="inlineStr">
        <is>
          <t>S</t>
        </is>
      </c>
      <c r="I168" s="18" t="n"/>
      <c r="J168" s="18" t="n"/>
      <c r="K168" s="18" t="inlineStr">
        <is>
          <t>TC-ADV-031-01</t>
        </is>
      </c>
      <c r="L168" s="18" t="inlineStr">
        <is>
          <t>Functional (rule test harness + E2E scenario)</t>
        </is>
      </c>
      <c r="M168" s="18" t="inlineStr">
        <is>
          <t>SIT; UAT</t>
        </is>
      </c>
      <c r="N168" s="18" t="inlineStr">
        <is>
          <t>Not Started</t>
        </is>
      </c>
      <c r="O168" s="18" t="n"/>
      <c r="P168" s="18" t="n"/>
      <c r="Q168" s="18" t="inlineStr"/>
    </row>
    <row r="169">
      <c r="A169" s="18" t="inlineStr">
        <is>
          <t>ADV-032</t>
        </is>
      </c>
      <c r="B169" s="18" t="inlineStr">
        <is>
          <t>Requirement</t>
        </is>
      </c>
      <c r="C169" s="18" t="inlineStr">
        <is>
          <t>Advanced Features</t>
        </is>
      </c>
      <c r="D169" s="18" t="inlineStr">
        <is>
          <t>C.4 Wave Planning Engine</t>
        </is>
      </c>
      <c r="E169" s="18" t="inlineStr">
        <is>
          <t>docs/scope/06-advanced-features.md</t>
        </is>
      </c>
      <c r="F169" s="18" t="inlineStr">
        <is>
          <t>Wave release of 10,000 orders / 50,000 lines completes ≤ 60 s</t>
        </is>
      </c>
      <c r="G169" s="18" t="inlineStr">
        <is>
          <t>Rule/requirement enforced as stated (positive + negative case)</t>
        </is>
      </c>
      <c r="H169" s="18" t="inlineStr">
        <is>
          <t>M</t>
        </is>
      </c>
      <c r="I169" s="18" t="n"/>
      <c r="J169" s="18" t="n"/>
      <c r="K169" s="18" t="inlineStr">
        <is>
          <t>TC-ADV-032-01</t>
        </is>
      </c>
      <c r="L169" s="18" t="inlineStr">
        <is>
          <t>Performance</t>
        </is>
      </c>
      <c r="M169" s="18" t="inlineStr">
        <is>
          <t>PERF</t>
        </is>
      </c>
      <c r="N169" s="18" t="inlineStr">
        <is>
          <t>Not Started</t>
        </is>
      </c>
      <c r="O169" s="18" t="n"/>
      <c r="P169" s="18" t="n"/>
      <c r="Q169" s="18" t="inlineStr"/>
    </row>
    <row r="170">
      <c r="A170" s="18" t="inlineStr">
        <is>
          <t>ADV-040</t>
        </is>
      </c>
      <c r="B170" s="18" t="inlineStr">
        <is>
          <t>Requirement</t>
        </is>
      </c>
      <c r="C170" s="18" t="inlineStr">
        <is>
          <t>Advanced Features</t>
        </is>
      </c>
      <c r="D170" s="18" t="inlineStr">
        <is>
          <t>C.5 Cartonization Engine</t>
        </is>
      </c>
      <c r="E170" s="18" t="inlineStr">
        <is>
          <t>docs/scope/06-advanced-features.md</t>
        </is>
      </c>
      <c r="F170" s="18" t="inlineStr">
        <is>
          <t>Cartonization at release with pick-to-carton support</t>
        </is>
      </c>
      <c r="G170" s="18" t="inlineStr">
        <is>
          <t>Rule/requirement enforced as stated (positive + negative case)</t>
        </is>
      </c>
      <c r="H170" s="18" t="inlineStr">
        <is>
          <t>S</t>
        </is>
      </c>
      <c r="I170" s="18" t="n"/>
      <c r="J170" s="18" t="n"/>
      <c r="K170" s="18" t="inlineStr">
        <is>
          <t>TC-ADV-040-01</t>
        </is>
      </c>
      <c r="L170" s="18" t="inlineStr">
        <is>
          <t>Functional (rule test harness + E2E scenario)</t>
        </is>
      </c>
      <c r="M170" s="18" t="inlineStr">
        <is>
          <t>SIT; UAT</t>
        </is>
      </c>
      <c r="N170" s="18" t="inlineStr">
        <is>
          <t>Not Started</t>
        </is>
      </c>
      <c r="O170" s="18" t="n"/>
      <c r="P170" s="18" t="n"/>
      <c r="Q170" s="18" t="inlineStr"/>
    </row>
    <row r="171">
      <c r="A171" s="18" t="inlineStr">
        <is>
          <t>ADV-041</t>
        </is>
      </c>
      <c r="B171" s="18" t="inlineStr">
        <is>
          <t>Requirement</t>
        </is>
      </c>
      <c r="C171" s="18" t="inlineStr">
        <is>
          <t>Advanced Features</t>
        </is>
      </c>
      <c r="D171" s="18" t="inlineStr">
        <is>
          <t>C.5 Cartonization Engine</t>
        </is>
      </c>
      <c r="E171" s="18" t="inlineStr">
        <is>
          <t>docs/scope/06-advanced-features.md</t>
        </is>
      </c>
      <c r="F171" s="18" t="inlineStr">
        <is>
          <t>Carton recommendation ≤ 50 ms p95 per multi-item order</t>
        </is>
      </c>
      <c r="G171" s="18" t="inlineStr">
        <is>
          <t>Rule/requirement enforced as stated (positive + negative case)</t>
        </is>
      </c>
      <c r="H171" s="18" t="inlineStr">
        <is>
          <t>S</t>
        </is>
      </c>
      <c r="I171" s="18" t="n"/>
      <c r="J171" s="18" t="n"/>
      <c r="K171" s="18" t="inlineStr">
        <is>
          <t>TC-ADV-041-01</t>
        </is>
      </c>
      <c r="L171" s="18" t="inlineStr">
        <is>
          <t>Performance</t>
        </is>
      </c>
      <c r="M171" s="18" t="inlineStr">
        <is>
          <t>PERF</t>
        </is>
      </c>
      <c r="N171" s="18" t="inlineStr">
        <is>
          <t>Not Started</t>
        </is>
      </c>
      <c r="O171" s="18" t="n"/>
      <c r="P171" s="18" t="n"/>
      <c r="Q171" s="18" t="inlineStr"/>
    </row>
    <row r="172">
      <c r="A172" s="18" t="inlineStr">
        <is>
          <t>ADV-042</t>
        </is>
      </c>
      <c r="B172" s="18" t="inlineStr">
        <is>
          <t>Requirement</t>
        </is>
      </c>
      <c r="C172" s="18" t="inlineStr">
        <is>
          <t>Advanced Features</t>
        </is>
      </c>
      <c r="D172" s="18" t="inlineStr">
        <is>
          <t>C.5 Cartonization Engine</t>
        </is>
      </c>
      <c r="E172" s="18" t="inlineStr">
        <is>
          <t>docs/scope/06-advanced-features.md</t>
        </is>
      </c>
      <c r="F172" s="18" t="inlineStr">
        <is>
          <t>Carton catalogue per site/owner with cost and dim-weight divisors per carrier</t>
        </is>
      </c>
      <c r="G172" s="18" t="inlineStr">
        <is>
          <t>Rule/requirement enforced as stated (positive + negative case)</t>
        </is>
      </c>
      <c r="H172" s="18" t="inlineStr">
        <is>
          <t>S</t>
        </is>
      </c>
      <c r="I172" s="18" t="n"/>
      <c r="J172" s="18" t="n"/>
      <c r="K172" s="18" t="inlineStr">
        <is>
          <t>TC-ADV-042-01</t>
        </is>
      </c>
      <c r="L172" s="18" t="inlineStr">
        <is>
          <t>Functional (rule test harness + E2E scenario)</t>
        </is>
      </c>
      <c r="M172" s="18" t="inlineStr">
        <is>
          <t>SIT; UAT</t>
        </is>
      </c>
      <c r="N172" s="18" t="inlineStr">
        <is>
          <t>Not Started</t>
        </is>
      </c>
      <c r="O172" s="18" t="n"/>
      <c r="P172" s="18" t="n"/>
      <c r="Q172" s="18" t="inlineStr"/>
    </row>
    <row r="173">
      <c r="A173" s="18" t="inlineStr">
        <is>
          <t>ADV-050</t>
        </is>
      </c>
      <c r="B173" s="18" t="inlineStr">
        <is>
          <t>Requirement</t>
        </is>
      </c>
      <c r="C173" s="18" t="inlineStr">
        <is>
          <t>Advanced Features</t>
        </is>
      </c>
      <c r="D173" s="18" t="inlineStr">
        <is>
          <t>C.6 Automation &amp; Robotics Integration (AMR / AGV / ASRS)</t>
        </is>
      </c>
      <c r="E173" s="18" t="inlineStr">
        <is>
          <t>docs/scope/06-advanced-features.md</t>
        </is>
      </c>
      <c r="F173" s="18" t="inlineStr">
        <is>
          <t>Vendor-neutral automation adaptor framework; new vendor adaptor ≤ 8 weeks</t>
        </is>
      </c>
      <c r="G173" s="18" t="inlineStr">
        <is>
          <t>Rule/requirement enforced as stated (positive + negative case)</t>
        </is>
      </c>
      <c r="H173" s="18" t="inlineStr">
        <is>
          <t>S</t>
        </is>
      </c>
      <c r="I173" s="18" t="n"/>
      <c r="J173" s="18" t="n"/>
      <c r="K173" s="18" t="inlineStr">
        <is>
          <t>TC-ADV-050-01</t>
        </is>
      </c>
      <c r="L173" s="18" t="inlineStr">
        <is>
          <t>Automation / MHE (emulator, FAT/SAT)</t>
        </is>
      </c>
      <c r="M173" s="18" t="inlineStr">
        <is>
          <t>SIT; Site</t>
        </is>
      </c>
      <c r="N173" s="18" t="inlineStr">
        <is>
          <t>Not Started</t>
        </is>
      </c>
      <c r="O173" s="18" t="n"/>
      <c r="P173" s="18" t="n"/>
      <c r="Q173" s="18" t="inlineStr"/>
    </row>
    <row r="174">
      <c r="A174" s="18" t="inlineStr">
        <is>
          <t>ADV-051</t>
        </is>
      </c>
      <c r="B174" s="18" t="inlineStr">
        <is>
          <t>Requirement</t>
        </is>
      </c>
      <c r="C174" s="18" t="inlineStr">
        <is>
          <t>Advanced Features</t>
        </is>
      </c>
      <c r="D174" s="18" t="inlineStr">
        <is>
          <t>C.6 Automation &amp; Robotics Integration (AMR / AGV / ASRS)</t>
        </is>
      </c>
      <c r="E174" s="18" t="inlineStr">
        <is>
          <t>docs/scope/06-advanced-features.md</t>
        </is>
      </c>
      <c r="F174" s="18" t="inlineStr">
        <is>
          <t>VDA 5050 v2 support for AGV/AMR</t>
        </is>
      </c>
      <c r="G174" s="18" t="inlineStr">
        <is>
          <t>Rule/requirement enforced as stated (positive + negative case)</t>
        </is>
      </c>
      <c r="H174" s="18" t="inlineStr">
        <is>
          <t>C</t>
        </is>
      </c>
      <c r="I174" s="18" t="n"/>
      <c r="J174" s="18" t="n"/>
      <c r="K174" s="18" t="inlineStr">
        <is>
          <t>TC-ADV-051-01</t>
        </is>
      </c>
      <c r="L174" s="18" t="inlineStr">
        <is>
          <t>Automation / MHE (emulator, FAT/SAT)</t>
        </is>
      </c>
      <c r="M174" s="18" t="inlineStr">
        <is>
          <t>SIT; Site</t>
        </is>
      </c>
      <c r="N174" s="18" t="inlineStr">
        <is>
          <t>Not Started</t>
        </is>
      </c>
      <c r="O174" s="18" t="n"/>
      <c r="P174" s="18" t="n"/>
      <c r="Q174" s="18" t="inlineStr"/>
    </row>
    <row r="175">
      <c r="A175" s="18" t="inlineStr">
        <is>
          <t>ADV-052</t>
        </is>
      </c>
      <c r="B175" s="18" t="inlineStr">
        <is>
          <t>Requirement</t>
        </is>
      </c>
      <c r="C175" s="18" t="inlineStr">
        <is>
          <t>Advanced Features</t>
        </is>
      </c>
      <c r="D175" s="18" t="inlineStr">
        <is>
          <t>C.6 Automation &amp; Robotics Integration (AMR / AGV / ASRS)</t>
        </is>
      </c>
      <c r="E175" s="18" t="inlineStr">
        <is>
          <t>docs/scope/06-advanced-features.md</t>
        </is>
      </c>
      <c r="F175" s="18" t="inlineStr">
        <is>
          <t>Sorter routing response ≤ 100 ms p99</t>
        </is>
      </c>
      <c r="G175" s="18" t="inlineStr">
        <is>
          <t>Rule/requirement enforced as stated (positive + negative case)</t>
        </is>
      </c>
      <c r="H175" s="18" t="inlineStr">
        <is>
          <t>M</t>
        </is>
      </c>
      <c r="I175" s="18" t="n"/>
      <c r="J175" s="18" t="n"/>
      <c r="K175" s="18" t="inlineStr">
        <is>
          <t>TC-ADV-052-01</t>
        </is>
      </c>
      <c r="L175" s="18" t="inlineStr">
        <is>
          <t>Performance</t>
        </is>
      </c>
      <c r="M175" s="18" t="inlineStr">
        <is>
          <t>PERF</t>
        </is>
      </c>
      <c r="N175" s="18" t="inlineStr">
        <is>
          <t>Not Started</t>
        </is>
      </c>
      <c r="O175" s="18" t="n"/>
      <c r="P175" s="18" t="n"/>
      <c r="Q175" s="18" t="inlineStr">
        <is>
          <t>Priority qualifier: if sorter in scope</t>
        </is>
      </c>
    </row>
    <row r="176">
      <c r="A176" s="18" t="inlineStr">
        <is>
          <t>ADV-053</t>
        </is>
      </c>
      <c r="B176" s="18" t="inlineStr">
        <is>
          <t>Requirement</t>
        </is>
      </c>
      <c r="C176" s="18" t="inlineStr">
        <is>
          <t>Advanced Features</t>
        </is>
      </c>
      <c r="D176" s="18" t="inlineStr">
        <is>
          <t>C.6 Automation &amp; Robotics Integration (AMR / AGV / ASRS)</t>
        </is>
      </c>
      <c r="E176" s="18" t="inlineStr">
        <is>
          <t>docs/scope/06-advanced-features.md</t>
        </is>
      </c>
      <c r="F176" s="18" t="inlineStr">
        <is>
          <t>Automation inventory reconciliation with discrepancy workflow</t>
        </is>
      </c>
      <c r="G176" s="18" t="inlineStr">
        <is>
          <t>Rule/requirement enforced as stated (positive + negative case)</t>
        </is>
      </c>
      <c r="H176" s="18" t="inlineStr">
        <is>
          <t>M</t>
        </is>
      </c>
      <c r="I176" s="18" t="n"/>
      <c r="J176" s="18" t="n"/>
      <c r="K176" s="18" t="inlineStr">
        <is>
          <t>TC-ADV-053-01</t>
        </is>
      </c>
      <c r="L176" s="18" t="inlineStr">
        <is>
          <t>Automation / MHE (emulator, FAT/SAT)</t>
        </is>
      </c>
      <c r="M176" s="18" t="inlineStr">
        <is>
          <t>SIT; Site</t>
        </is>
      </c>
      <c r="N176" s="18" t="inlineStr">
        <is>
          <t>Not Started</t>
        </is>
      </c>
      <c r="O176" s="18" t="n"/>
      <c r="P176" s="18" t="n"/>
      <c r="Q176" s="18" t="inlineStr"/>
    </row>
    <row r="177">
      <c r="A177" s="18" t="inlineStr">
        <is>
          <t>ADV-060</t>
        </is>
      </c>
      <c r="B177" s="18" t="inlineStr">
        <is>
          <t>Requirement</t>
        </is>
      </c>
      <c r="C177" s="18" t="inlineStr">
        <is>
          <t>Advanced Features</t>
        </is>
      </c>
      <c r="D177" s="18" t="inlineStr">
        <is>
          <t>C.7 IoT Sensor Integration</t>
        </is>
      </c>
      <c r="E177" s="18" t="inlineStr">
        <is>
          <t>docs/scope/06-advanced-features.md</t>
        </is>
      </c>
      <c r="F177" s="18" t="inlineStr">
        <is>
          <t>Ingest ≥ 5,000 sensor readings/s per tenant</t>
        </is>
      </c>
      <c r="G177" s="18" t="inlineStr">
        <is>
          <t>Rule/requirement enforced as stated (positive + negative case)</t>
        </is>
      </c>
      <c r="H177" s="18" t="inlineStr">
        <is>
          <t>S</t>
        </is>
      </c>
      <c r="I177" s="18" t="n"/>
      <c r="J177" s="18" t="n"/>
      <c r="K177" s="18" t="inlineStr">
        <is>
          <t>TC-ADV-060-01</t>
        </is>
      </c>
      <c r="L177" s="18" t="inlineStr">
        <is>
          <t>Performance</t>
        </is>
      </c>
      <c r="M177" s="18" t="inlineStr">
        <is>
          <t>PERF</t>
        </is>
      </c>
      <c r="N177" s="18" t="inlineStr">
        <is>
          <t>Not Started</t>
        </is>
      </c>
      <c r="O177" s="18" t="n"/>
      <c r="P177" s="18" t="n"/>
      <c r="Q177" s="18" t="inlineStr"/>
    </row>
    <row r="178">
      <c r="A178" s="18" t="inlineStr">
        <is>
          <t>ADV-061</t>
        </is>
      </c>
      <c r="B178" s="18" t="inlineStr">
        <is>
          <t>Requirement</t>
        </is>
      </c>
      <c r="C178" s="18" t="inlineStr">
        <is>
          <t>Advanced Features</t>
        </is>
      </c>
      <c r="D178" s="18" t="inlineStr">
        <is>
          <t>C.7 IoT Sensor Integration</t>
        </is>
      </c>
      <c r="E178" s="18" t="inlineStr">
        <is>
          <t>docs/scope/06-advanced-features.md</t>
        </is>
      </c>
      <c r="F178" s="18" t="inlineStr">
        <is>
          <t>Rule evaluation to WMS event latency ≤ 10 s</t>
        </is>
      </c>
      <c r="G178" s="18" t="inlineStr">
        <is>
          <t>Rule/requirement enforced as stated (positive + negative case)</t>
        </is>
      </c>
      <c r="H178" s="18" t="inlineStr">
        <is>
          <t>S</t>
        </is>
      </c>
      <c r="I178" s="18" t="n"/>
      <c r="J178" s="18" t="n"/>
      <c r="K178" s="18" t="inlineStr">
        <is>
          <t>TC-ADV-061-01</t>
        </is>
      </c>
      <c r="L178" s="18" t="inlineStr">
        <is>
          <t>Performance</t>
        </is>
      </c>
      <c r="M178" s="18" t="inlineStr">
        <is>
          <t>PERF</t>
        </is>
      </c>
      <c r="N178" s="18" t="inlineStr">
        <is>
          <t>Not Started</t>
        </is>
      </c>
      <c r="O178" s="18" t="n"/>
      <c r="P178" s="18" t="n"/>
      <c r="Q178" s="18" t="inlineStr"/>
    </row>
    <row r="179">
      <c r="A179" s="18" t="inlineStr">
        <is>
          <t>ADV-062</t>
        </is>
      </c>
      <c r="B179" s="18" t="inlineStr">
        <is>
          <t>Requirement</t>
        </is>
      </c>
      <c r="C179" s="18" t="inlineStr">
        <is>
          <t>Advanced Features</t>
        </is>
      </c>
      <c r="D179" s="18" t="inlineStr">
        <is>
          <t>C.7 IoT Sensor Integration</t>
        </is>
      </c>
      <c r="E179" s="18" t="inlineStr">
        <is>
          <t>docs/scope/06-advanced-features.md</t>
        </is>
      </c>
      <c r="F179" s="18" t="inlineStr">
        <is>
          <t>Device identity and certificate rotation</t>
        </is>
      </c>
      <c r="G179" s="18" t="inlineStr">
        <is>
          <t>Rule/requirement enforced as stated (positive + negative case)</t>
        </is>
      </c>
      <c r="H179" s="18" t="inlineStr">
        <is>
          <t>M</t>
        </is>
      </c>
      <c r="I179" s="18" t="n"/>
      <c r="J179" s="18" t="n"/>
      <c r="K179" s="18" t="inlineStr">
        <is>
          <t>TC-ADV-062-01</t>
        </is>
      </c>
      <c r="L179" s="18" t="inlineStr">
        <is>
          <t>Functional (rule test harness + E2E scenario)</t>
        </is>
      </c>
      <c r="M179" s="18" t="inlineStr">
        <is>
          <t>SIT; UAT</t>
        </is>
      </c>
      <c r="N179" s="18" t="inlineStr">
        <is>
          <t>Not Started</t>
        </is>
      </c>
      <c r="O179" s="18" t="n"/>
      <c r="P179" s="18" t="n"/>
      <c r="Q179" s="18" t="inlineStr"/>
    </row>
    <row r="180">
      <c r="A180" s="18" t="inlineStr">
        <is>
          <t>ADV-070</t>
        </is>
      </c>
      <c r="B180" s="18" t="inlineStr">
        <is>
          <t>Requirement</t>
        </is>
      </c>
      <c r="C180" s="18" t="inlineStr">
        <is>
          <t>Advanced Features</t>
        </is>
      </c>
      <c r="D180" s="18" t="inlineStr">
        <is>
          <t>C.8 AI-Driven Forecasting &amp; Predictive Analytics</t>
        </is>
      </c>
      <c r="E180" s="18" t="inlineStr">
        <is>
          <t>docs/scope/06-advanced-features.md</t>
        </is>
      </c>
      <c r="F180" s="18" t="inlineStr">
        <is>
          <t>Hourly outbound volume forecast with WAPE ≤ 15% at site-day level (after 12 weeks of history)</t>
        </is>
      </c>
      <c r="G180" s="18" t="inlineStr">
        <is>
          <t>Rule/requirement enforced as stated (positive + negative case)</t>
        </is>
      </c>
      <c r="H180" s="18" t="inlineStr">
        <is>
          <t>C</t>
        </is>
      </c>
      <c r="I180" s="18" t="n"/>
      <c r="J180" s="18" t="n"/>
      <c r="K180" s="18" t="inlineStr">
        <is>
          <t>TC-ADV-070-01</t>
        </is>
      </c>
      <c r="L180" s="18" t="inlineStr">
        <is>
          <t>Functional (rule test harness + E2E scenario)</t>
        </is>
      </c>
      <c r="M180" s="18" t="inlineStr">
        <is>
          <t>SIT; UAT</t>
        </is>
      </c>
      <c r="N180" s="18" t="inlineStr">
        <is>
          <t>Not Started</t>
        </is>
      </c>
      <c r="O180" s="18" t="n"/>
      <c r="P180" s="18" t="n"/>
      <c r="Q180" s="18" t="inlineStr"/>
    </row>
    <row r="181">
      <c r="A181" s="18" t="inlineStr">
        <is>
          <t>ADV-071</t>
        </is>
      </c>
      <c r="B181" s="18" t="inlineStr">
        <is>
          <t>Requirement</t>
        </is>
      </c>
      <c r="C181" s="18" t="inlineStr">
        <is>
          <t>Advanced Features</t>
        </is>
      </c>
      <c r="D181" s="18" t="inlineStr">
        <is>
          <t>C.8 AI-Driven Forecasting &amp; Predictive Analytics</t>
        </is>
      </c>
      <c r="E181" s="18" t="inlineStr">
        <is>
          <t>docs/scope/06-advanced-features.md</t>
        </is>
      </c>
      <c r="F181" s="18" t="inlineStr">
        <is>
          <t>Late-order risk scoring feeding exception dashboard</t>
        </is>
      </c>
      <c r="G181" s="18" t="inlineStr">
        <is>
          <t>Rule/requirement enforced as stated (positive + negative case)</t>
        </is>
      </c>
      <c r="H181" s="18" t="inlineStr">
        <is>
          <t>C</t>
        </is>
      </c>
      <c r="I181" s="18" t="n"/>
      <c r="J181" s="18" t="n"/>
      <c r="K181" s="18" t="inlineStr">
        <is>
          <t>TC-ADV-071-01</t>
        </is>
      </c>
      <c r="L181" s="18" t="inlineStr">
        <is>
          <t>Functional (rule test harness + E2E scenario)</t>
        </is>
      </c>
      <c r="M181" s="18" t="inlineStr">
        <is>
          <t>SIT; UAT</t>
        </is>
      </c>
      <c r="N181" s="18" t="inlineStr">
        <is>
          <t>Not Started</t>
        </is>
      </c>
      <c r="O181" s="18" t="n"/>
      <c r="P181" s="18" t="n"/>
      <c r="Q181" s="18" t="inlineStr"/>
    </row>
    <row r="182">
      <c r="A182" s="18" t="inlineStr">
        <is>
          <t>ADV-072</t>
        </is>
      </c>
      <c r="B182" s="18" t="inlineStr">
        <is>
          <t>Requirement</t>
        </is>
      </c>
      <c r="C182" s="18" t="inlineStr">
        <is>
          <t>Advanced Features</t>
        </is>
      </c>
      <c r="D182" s="18" t="inlineStr">
        <is>
          <t>C.8 AI-Driven Forecasting &amp; Predictive Analytics</t>
        </is>
      </c>
      <c r="E182" s="18" t="inlineStr">
        <is>
          <t>docs/scope/06-advanced-features.md</t>
        </is>
      </c>
      <c r="F182" s="18" t="inlineStr">
        <is>
          <t>Explainability: top feature contributions displayed for each recommendation</t>
        </is>
      </c>
      <c r="G182" s="18" t="inlineStr">
        <is>
          <t>Rule/requirement enforced as stated (positive + negative case)</t>
        </is>
      </c>
      <c r="H182" s="18" t="inlineStr">
        <is>
          <t>S</t>
        </is>
      </c>
      <c r="I182" s="18" t="n"/>
      <c r="J182" s="18" t="n"/>
      <c r="K182" s="18" t="inlineStr">
        <is>
          <t>TC-ADV-072-01</t>
        </is>
      </c>
      <c r="L182" s="18" t="inlineStr">
        <is>
          <t>Functional (rule test harness + E2E scenario)</t>
        </is>
      </c>
      <c r="M182" s="18" t="inlineStr">
        <is>
          <t>SIT; UAT</t>
        </is>
      </c>
      <c r="N182" s="18" t="inlineStr">
        <is>
          <t>Not Started</t>
        </is>
      </c>
      <c r="O182" s="18" t="n"/>
      <c r="P182" s="18" t="n"/>
      <c r="Q182" s="18" t="inlineStr"/>
    </row>
    <row r="183">
      <c r="A183" s="18" t="inlineStr">
        <is>
          <t>ADV-080</t>
        </is>
      </c>
      <c r="B183" s="18" t="inlineStr">
        <is>
          <t>Requirement</t>
        </is>
      </c>
      <c r="C183" s="18" t="inlineStr">
        <is>
          <t>Advanced Features</t>
        </is>
      </c>
      <c r="D183" s="18" t="inlineStr">
        <is>
          <t>C.9 Digital Twin for Warehouse Simulation</t>
        </is>
      </c>
      <c r="E183" s="18" t="inlineStr">
        <is>
          <t>docs/scope/06-advanced-features.md</t>
        </is>
      </c>
      <c r="F183" s="18" t="inlineStr">
        <is>
          <t>Simulation uses production rule engines (no separate re-implementation)</t>
        </is>
      </c>
      <c r="G183" s="18" t="inlineStr">
        <is>
          <t>Rule/requirement enforced as stated (positive + negative case)</t>
        </is>
      </c>
      <c r="H183" s="18" t="inlineStr">
        <is>
          <t>C</t>
        </is>
      </c>
      <c r="I183" s="18" t="n"/>
      <c r="J183" s="18" t="n"/>
      <c r="K183" s="18" t="inlineStr">
        <is>
          <t>TC-ADV-080-01</t>
        </is>
      </c>
      <c r="L183" s="18" t="inlineStr">
        <is>
          <t>Functional (rule test harness + E2E scenario)</t>
        </is>
      </c>
      <c r="M183" s="18" t="inlineStr">
        <is>
          <t>SIT; UAT</t>
        </is>
      </c>
      <c r="N183" s="18" t="inlineStr">
        <is>
          <t>Not Started</t>
        </is>
      </c>
      <c r="O183" s="18" t="n"/>
      <c r="P183" s="18" t="n"/>
      <c r="Q183" s="18" t="inlineStr"/>
    </row>
    <row r="184">
      <c r="A184" s="18" t="inlineStr">
        <is>
          <t>ADV-081</t>
        </is>
      </c>
      <c r="B184" s="18" t="inlineStr">
        <is>
          <t>Requirement</t>
        </is>
      </c>
      <c r="C184" s="18" t="inlineStr">
        <is>
          <t>Advanced Features</t>
        </is>
      </c>
      <c r="D184" s="18" t="inlineStr">
        <is>
          <t>C.9 Digital Twin for Warehouse Simulation</t>
        </is>
      </c>
      <c r="E184" s="18" t="inlineStr">
        <is>
          <t>docs/scope/06-advanced-features.md</t>
        </is>
      </c>
      <c r="F184" s="18" t="inlineStr">
        <is>
          <t>8-hour shift simulation for a 50k-line day runs ≤ 5 min</t>
        </is>
      </c>
      <c r="G184" s="18" t="inlineStr">
        <is>
          <t>Rule/requirement enforced as stated (positive + negative case)</t>
        </is>
      </c>
      <c r="H184" s="18" t="inlineStr">
        <is>
          <t>C</t>
        </is>
      </c>
      <c r="I184" s="18" t="n"/>
      <c r="J184" s="18" t="n"/>
      <c r="K184" s="18" t="inlineStr">
        <is>
          <t>TC-ADV-081-01</t>
        </is>
      </c>
      <c r="L184" s="18" t="inlineStr">
        <is>
          <t>Performance</t>
        </is>
      </c>
      <c r="M184" s="18" t="inlineStr">
        <is>
          <t>PERF</t>
        </is>
      </c>
      <c r="N184" s="18" t="inlineStr">
        <is>
          <t>Not Started</t>
        </is>
      </c>
      <c r="O184" s="18" t="n"/>
      <c r="P184" s="18" t="n"/>
      <c r="Q184" s="18" t="inlineStr"/>
    </row>
    <row r="185">
      <c r="A185" s="18" t="inlineStr">
        <is>
          <t>ADV-090</t>
        </is>
      </c>
      <c r="B185" s="18" t="inlineStr">
        <is>
          <t>Requirement</t>
        </is>
      </c>
      <c r="C185" s="18" t="inlineStr">
        <is>
          <t>Advanced Features</t>
        </is>
      </c>
      <c r="D185" s="18" t="inlineStr">
        <is>
          <t>C.10 Computer Vision for Inventory &amp; Safety Monitoring</t>
        </is>
      </c>
      <c r="E185" s="18" t="inlineStr">
        <is>
          <t>docs/scope/06-advanced-features.md</t>
        </is>
      </c>
      <c r="F185" s="18" t="inlineStr">
        <is>
          <t>CV count observations integrated into cycle-count workflow</t>
        </is>
      </c>
      <c r="G185" s="18" t="inlineStr">
        <is>
          <t>Rule/requirement enforced as stated (positive + negative case)</t>
        </is>
      </c>
      <c r="H185" s="18" t="inlineStr">
        <is>
          <t>C</t>
        </is>
      </c>
      <c r="I185" s="18" t="n"/>
      <c r="J185" s="18" t="n"/>
      <c r="K185" s="18" t="inlineStr">
        <is>
          <t>TC-ADV-090-01</t>
        </is>
      </c>
      <c r="L185" s="18" t="inlineStr">
        <is>
          <t>Functional (rule test harness + E2E scenario)</t>
        </is>
      </c>
      <c r="M185" s="18" t="inlineStr">
        <is>
          <t>SIT; UAT</t>
        </is>
      </c>
      <c r="N185" s="18" t="inlineStr">
        <is>
          <t>Not Started</t>
        </is>
      </c>
      <c r="O185" s="18" t="n"/>
      <c r="P185" s="18" t="n"/>
      <c r="Q185" s="18" t="inlineStr"/>
    </row>
    <row r="186">
      <c r="A186" s="18" t="inlineStr">
        <is>
          <t>ADV-091</t>
        </is>
      </c>
      <c r="B186" s="18" t="inlineStr">
        <is>
          <t>Requirement</t>
        </is>
      </c>
      <c r="C186" s="18" t="inlineStr">
        <is>
          <t>Advanced Features</t>
        </is>
      </c>
      <c r="D186" s="18" t="inlineStr">
        <is>
          <t>C.10 Computer Vision for Inventory &amp; Safety Monitoring</t>
        </is>
      </c>
      <c r="E186" s="18" t="inlineStr">
        <is>
          <t>docs/scope/06-advanced-features.md</t>
        </is>
      </c>
      <c r="F186" s="18" t="inlineStr">
        <is>
          <t>Dock damage evidence attached to receipt exceptions</t>
        </is>
      </c>
      <c r="G186" s="18" t="inlineStr">
        <is>
          <t>Rule/requirement enforced as stated (positive + negative case)</t>
        </is>
      </c>
      <c r="H186" s="18" t="inlineStr">
        <is>
          <t>C</t>
        </is>
      </c>
      <c r="I186" s="18" t="n"/>
      <c r="J186" s="18" t="n"/>
      <c r="K186" s="18" t="inlineStr">
        <is>
          <t>TC-ADV-091-01</t>
        </is>
      </c>
      <c r="L186" s="18" t="inlineStr">
        <is>
          <t>Functional (rule test harness + E2E scenario)</t>
        </is>
      </c>
      <c r="M186" s="18" t="inlineStr">
        <is>
          <t>SIT; UAT</t>
        </is>
      </c>
      <c r="N186" s="18" t="inlineStr">
        <is>
          <t>Not Started</t>
        </is>
      </c>
      <c r="O186" s="18" t="n"/>
      <c r="P186" s="18" t="n"/>
      <c r="Q186" s="18" t="inlineStr"/>
    </row>
    <row r="187">
      <c r="A187" s="18" t="inlineStr">
        <is>
          <t>ADV-092</t>
        </is>
      </c>
      <c r="B187" s="18" t="inlineStr">
        <is>
          <t>Requirement</t>
        </is>
      </c>
      <c r="C187" s="18" t="inlineStr">
        <is>
          <t>Advanced Features</t>
        </is>
      </c>
      <c r="D187" s="18" t="inlineStr">
        <is>
          <t>C.10 Computer Vision for Inventory &amp; Safety Monitoring</t>
        </is>
      </c>
      <c r="E187" s="18" t="inlineStr">
        <is>
          <t>docs/scope/06-advanced-features.md</t>
        </is>
      </c>
      <c r="F187" s="18" t="inlineStr">
        <is>
          <t>Edge anonymisation of persons by default</t>
        </is>
      </c>
      <c r="G187" s="18" t="inlineStr">
        <is>
          <t>Rule/requirement enforced as stated (positive + negative case)</t>
        </is>
      </c>
      <c r="H187" s="18" t="inlineStr">
        <is>
          <t>M</t>
        </is>
      </c>
      <c r="I187" s="18" t="n"/>
      <c r="J187" s="18" t="n"/>
      <c r="K187" s="18" t="inlineStr">
        <is>
          <t>TC-ADV-092-01</t>
        </is>
      </c>
      <c r="L187" s="18" t="inlineStr">
        <is>
          <t>Functional (rule test harness + E2E scenario)</t>
        </is>
      </c>
      <c r="M187" s="18" t="inlineStr">
        <is>
          <t>SIT; UAT</t>
        </is>
      </c>
      <c r="N187" s="18" t="inlineStr">
        <is>
          <t>Not Started</t>
        </is>
      </c>
      <c r="O187" s="18" t="n"/>
      <c r="P187" s="18" t="n"/>
      <c r="Q187" s="18" t="inlineStr">
        <is>
          <t>Priority qualifier: if CV in scope</t>
        </is>
      </c>
    </row>
    <row r="188">
      <c r="A188" s="18" t="inlineStr">
        <is>
          <t>INT-001</t>
        </is>
      </c>
      <c r="B188" s="18" t="inlineStr">
        <is>
          <t>Requirement</t>
        </is>
      </c>
      <c r="C188" s="18" t="inlineStr">
        <is>
          <t>ERP Integration</t>
        </is>
      </c>
      <c r="D188" s="18" t="inlineStr">
        <is>
          <t>D.2 Master Data Flows (ERP → WMS)</t>
        </is>
      </c>
      <c r="E188" s="18" t="inlineStr">
        <is>
          <t>docs/scope/07-erp-integration.md</t>
        </is>
      </c>
      <c r="F188" s="18" t="inlineStr">
        <is>
          <t>Master data messages are idempotent upserts keyed by ERP key plus owner (3PL). Deletions are soft (flag ERP_DELETED), and objects that are still referenced by open inventory or orders are never physically deleted.</t>
        </is>
      </c>
      <c r="G188" s="18" t="inlineStr">
        <is>
          <t>Rule/requirement enforced as stated (positive + negative case)</t>
        </is>
      </c>
      <c r="H188" s="18" t="inlineStr">
        <is>
          <t>M</t>
        </is>
      </c>
      <c r="I188" s="18" t="n"/>
      <c r="J188" s="18" t="n"/>
      <c r="K188" s="18" t="inlineStr">
        <is>
          <t>TC-INT-001-01</t>
        </is>
      </c>
      <c r="L188" s="18" t="inlineStr">
        <is>
          <t>Integration (component) + end-to-end SIT</t>
        </is>
      </c>
      <c r="M188" s="18" t="inlineStr">
        <is>
          <t>SIT</t>
        </is>
      </c>
      <c r="N188" s="18" t="inlineStr">
        <is>
          <t>Not Started</t>
        </is>
      </c>
      <c r="O188" s="18" t="n"/>
      <c r="P188" s="18" t="n"/>
      <c r="Q188" s="18" t="inlineStr"/>
    </row>
    <row r="189">
      <c r="A189" s="18" t="inlineStr">
        <is>
          <t>INT-002</t>
        </is>
      </c>
      <c r="B189" s="18" t="inlineStr">
        <is>
          <t>Requirement</t>
        </is>
      </c>
      <c r="C189" s="18" t="inlineStr">
        <is>
          <t>ERP Integration</t>
        </is>
      </c>
      <c r="D189" s="18" t="inlineStr">
        <is>
          <t>D.2 Master Data Flows (ERP → WMS)</t>
        </is>
      </c>
      <c r="E189" s="18" t="inlineStr">
        <is>
          <t>docs/scope/07-erp-integration.md</t>
        </is>
      </c>
      <c r="F189" s="18" t="inlineStr">
        <is>
          <t>Transactions that reference an unknown master are *parked*, not rejected. They are automatically retried when the master arrives, with a timeout alert after 30 min.</t>
        </is>
      </c>
      <c r="G189" s="18" t="inlineStr">
        <is>
          <t>Rule/requirement enforced as stated (positive + negative case)</t>
        </is>
      </c>
      <c r="H189" s="18" t="inlineStr">
        <is>
          <t>M</t>
        </is>
      </c>
      <c r="I189" s="18" t="n"/>
      <c r="J189" s="18" t="n"/>
      <c r="K189" s="18" t="inlineStr">
        <is>
          <t>TC-INT-002-01</t>
        </is>
      </c>
      <c r="L189" s="18" t="inlineStr">
        <is>
          <t>Integration (component) + end-to-end SIT</t>
        </is>
      </c>
      <c r="M189" s="18" t="inlineStr">
        <is>
          <t>SIT</t>
        </is>
      </c>
      <c r="N189" s="18" t="inlineStr">
        <is>
          <t>Not Started</t>
        </is>
      </c>
      <c r="O189" s="18" t="n"/>
      <c r="P189" s="18" t="n"/>
      <c r="Q189" s="18" t="inlineStr"/>
    </row>
    <row r="190">
      <c r="A190" s="18" t="inlineStr">
        <is>
          <t>INT-003</t>
        </is>
      </c>
      <c r="B190" s="18" t="inlineStr">
        <is>
          <t>Requirement</t>
        </is>
      </c>
      <c r="C190" s="18" t="inlineStr">
        <is>
          <t>ERP Integration</t>
        </is>
      </c>
      <c r="D190" s="18" t="inlineStr">
        <is>
          <t>D.2 Master Data Flows (ERP → WMS)</t>
        </is>
      </c>
      <c r="E190" s="18" t="inlineStr">
        <is>
          <t>docs/scope/07-erp-integration.md</t>
        </is>
      </c>
      <c r="F190" s="18" t="inlineStr">
        <is>
          <t>WMS-measured dimensions and weights can be sent back to the ERP (SAP BAPI_MATERIAL_SAVEDATA / API_PRODUCT_SRV PATCH; Oracle item update) under a data-governance approval flag.</t>
        </is>
      </c>
      <c r="G190" s="18" t="inlineStr">
        <is>
          <t>Rule/requirement enforced as stated (positive + negative case)</t>
        </is>
      </c>
      <c r="H190" s="18" t="inlineStr">
        <is>
          <t>S</t>
        </is>
      </c>
      <c r="I190" s="18" t="n"/>
      <c r="J190" s="18" t="n"/>
      <c r="K190" s="18" t="inlineStr">
        <is>
          <t>TC-INT-003-01</t>
        </is>
      </c>
      <c r="L190" s="18" t="inlineStr">
        <is>
          <t>Integration (component) + end-to-end SIT</t>
        </is>
      </c>
      <c r="M190" s="18" t="inlineStr">
        <is>
          <t>SIT</t>
        </is>
      </c>
      <c r="N190" s="18" t="inlineStr">
        <is>
          <t>Not Started</t>
        </is>
      </c>
      <c r="O190" s="18" t="n"/>
      <c r="P190" s="18" t="n"/>
      <c r="Q190" s="18" t="inlineStr"/>
    </row>
    <row r="191">
      <c r="A191" s="18" t="inlineStr">
        <is>
          <t>INT-010</t>
        </is>
      </c>
      <c r="B191" s="18" t="inlineStr">
        <is>
          <t>Requirement</t>
        </is>
      </c>
      <c r="C191" s="18" t="inlineStr">
        <is>
          <t>ERP Integration</t>
        </is>
      </c>
      <c r="D191" s="18" t="inlineStr">
        <is>
          <t>D.6.2 Error Handling Rules</t>
        </is>
      </c>
      <c r="E191" s="18" t="inlineStr">
        <is>
          <t>docs/scope/07-erp-integration.md</t>
        </is>
      </c>
      <c r="F191" s="18" t="inlineStr">
        <is>
          <t>Physical warehouse operation must never be blocked by an ERP outage or error; confirmations queue and post when resolved (store-and-forward).</t>
        </is>
      </c>
      <c r="G191" s="18" t="inlineStr">
        <is>
          <t>Rule/requirement enforced as stated (positive + negative case)</t>
        </is>
      </c>
      <c r="H191" s="18" t="inlineStr">
        <is>
          <t>M</t>
        </is>
      </c>
      <c r="I191" s="18" t="n"/>
      <c r="J191" s="18" t="n"/>
      <c r="K191" s="18" t="inlineStr">
        <is>
          <t>TC-INT-010-01</t>
        </is>
      </c>
      <c r="L191" s="18" t="inlineStr">
        <is>
          <t>Integration (component) + end-to-end SIT</t>
        </is>
      </c>
      <c r="M191" s="18" t="inlineStr">
        <is>
          <t>SIT</t>
        </is>
      </c>
      <c r="N191" s="18" t="inlineStr">
        <is>
          <t>Not Started</t>
        </is>
      </c>
      <c r="O191" s="18" t="n"/>
      <c r="P191" s="18" t="n"/>
      <c r="Q191" s="18" t="inlineStr"/>
    </row>
    <row r="192">
      <c r="A192" s="18" t="inlineStr">
        <is>
          <t>INT-011</t>
        </is>
      </c>
      <c r="B192" s="18" t="inlineStr">
        <is>
          <t>Requirement</t>
        </is>
      </c>
      <c r="C192" s="18" t="inlineStr">
        <is>
          <t>ERP Integration</t>
        </is>
      </c>
      <c r="D192" s="18" t="inlineStr">
        <is>
          <t>D.6.2 Error Handling Rules</t>
        </is>
      </c>
      <c r="E192" s="18" t="inlineStr">
        <is>
          <t>docs/scope/07-erp-integration.md</t>
        </is>
      </c>
      <c r="F192" s="18" t="inlineStr">
        <is>
          <t>Every WMS→ERP confirmation must have a terminal state: POSTED (with ERP doc no.), REJECTED_RESOLVED, or CANCELLED_WITH_APPROVAL. None may remain in error beyond SLA (default 24 h; before period close: 4 h).</t>
        </is>
      </c>
      <c r="G192" s="18" t="inlineStr">
        <is>
          <t>Rule/requirement enforced as stated (positive + negative case)</t>
        </is>
      </c>
      <c r="H192" s="18" t="inlineStr">
        <is>
          <t>M</t>
        </is>
      </c>
      <c r="I192" s="18" t="n"/>
      <c r="J192" s="18" t="n"/>
      <c r="K192" s="18" t="inlineStr">
        <is>
          <t>TC-INT-011-01</t>
        </is>
      </c>
      <c r="L192" s="18" t="inlineStr">
        <is>
          <t>Integration (component) + end-to-end SIT</t>
        </is>
      </c>
      <c r="M192" s="18" t="inlineStr">
        <is>
          <t>SIT</t>
        </is>
      </c>
      <c r="N192" s="18" t="inlineStr">
        <is>
          <t>Not Started</t>
        </is>
      </c>
      <c r="O192" s="18" t="n"/>
      <c r="P192" s="18" t="n"/>
      <c r="Q192" s="18" t="inlineStr"/>
    </row>
    <row r="193">
      <c r="A193" s="18" t="inlineStr">
        <is>
          <t>INT-012</t>
        </is>
      </c>
      <c r="B193" s="18" t="inlineStr">
        <is>
          <t>Requirement</t>
        </is>
      </c>
      <c r="C193" s="18" t="inlineStr">
        <is>
          <t>ERP Integration</t>
        </is>
      </c>
      <c r="D193" s="18" t="inlineStr">
        <is>
          <t>D.6.2 Error Handling Rules</t>
        </is>
      </c>
      <c r="E193" s="18" t="inlineStr">
        <is>
          <t>docs/scope/07-erp-integration.md</t>
        </is>
      </c>
      <c r="F193" s="18" t="inlineStr">
        <is>
          <t>Application acknowledgements are mandatory: technical ACK ≠ business success. SAP confirmations capture returned material document numbers; ALEAUD for IDoc status 53/51. Oracle interface rows are polled for PROCESS_FLAG/ERROR_CODE and MTL_TRANSACTIONS_INTERFACE.ERROR_EXPLANATION.</t>
        </is>
      </c>
      <c r="G193" s="18" t="inlineStr">
        <is>
          <t>Rule/requirement enforced as stated (positive + negative case)</t>
        </is>
      </c>
      <c r="H193" s="18" t="inlineStr">
        <is>
          <t>M</t>
        </is>
      </c>
      <c r="I193" s="18" t="n"/>
      <c r="J193" s="18" t="n"/>
      <c r="K193" s="18" t="inlineStr">
        <is>
          <t>TC-INT-012-01</t>
        </is>
      </c>
      <c r="L193" s="18" t="inlineStr">
        <is>
          <t>Integration (component) + end-to-end SIT</t>
        </is>
      </c>
      <c r="M193" s="18" t="inlineStr">
        <is>
          <t>SIT</t>
        </is>
      </c>
      <c r="N193" s="18" t="inlineStr">
        <is>
          <t>Not Started</t>
        </is>
      </c>
      <c r="O193" s="18" t="n"/>
      <c r="P193" s="18" t="n"/>
      <c r="Q193" s="18" t="inlineStr"/>
    </row>
    <row r="194">
      <c r="A194" s="18" t="inlineStr">
        <is>
          <t>INT-013</t>
        </is>
      </c>
      <c r="B194" s="18" t="inlineStr">
        <is>
          <t>Requirement</t>
        </is>
      </c>
      <c r="C194" s="18" t="inlineStr">
        <is>
          <t>ERP Integration</t>
        </is>
      </c>
      <c r="D194" s="18" t="inlineStr">
        <is>
          <t>D.6.2 Error Handling Rules</t>
        </is>
      </c>
      <c r="E194" s="18" t="inlineStr">
        <is>
          <t>docs/scope/07-erp-integration.md</t>
        </is>
      </c>
      <c r="F194" s="18" t="inlineStr">
        <is>
          <t>Sequencing: a later confirmation for the same document is held until the earlier one is posted (prevents out-of-order PGI before split, etc.).</t>
        </is>
      </c>
      <c r="G194" s="18" t="inlineStr">
        <is>
          <t>Rule/requirement enforced as stated (positive + negative case)</t>
        </is>
      </c>
      <c r="H194" s="18" t="inlineStr">
        <is>
          <t>M</t>
        </is>
      </c>
      <c r="I194" s="18" t="n"/>
      <c r="J194" s="18" t="n"/>
      <c r="K194" s="18" t="inlineStr">
        <is>
          <t>TC-INT-013-01</t>
        </is>
      </c>
      <c r="L194" s="18" t="inlineStr">
        <is>
          <t>Integration (component) + end-to-end SIT</t>
        </is>
      </c>
      <c r="M194" s="18" t="inlineStr">
        <is>
          <t>SIT</t>
        </is>
      </c>
      <c r="N194" s="18" t="inlineStr">
        <is>
          <t>Not Started</t>
        </is>
      </c>
      <c r="O194" s="18" t="n"/>
      <c r="P194" s="18" t="n"/>
      <c r="Q194" s="18" t="inlineStr"/>
    </row>
    <row r="195">
      <c r="A195" s="18" t="inlineStr">
        <is>
          <t>INT-014</t>
        </is>
      </c>
      <c r="B195" s="18" t="inlineStr">
        <is>
          <t>Requirement</t>
        </is>
      </c>
      <c r="C195" s="18" t="inlineStr">
        <is>
          <t>ERP Integration</t>
        </is>
      </c>
      <c r="D195" s="18" t="inlineStr">
        <is>
          <t>D.6.2 Error Handling Rules</t>
        </is>
      </c>
      <c r="E195" s="18" t="inlineStr">
        <is>
          <t>docs/scope/07-erp-integration.md</t>
        </is>
      </c>
      <c r="F195" s="18" t="inlineStr">
        <is>
          <t>Reprocessing is idempotent; ERP-side duplicate check uses WMS confirmation ID stored in ERP reference field (SAP XBLNR/BKTXT/delivery extension; Oracle ATTRIBUTE/source line ref).</t>
        </is>
      </c>
      <c r="G195" s="18" t="inlineStr">
        <is>
          <t>Rule/requirement enforced as stated (positive + negative case)</t>
        </is>
      </c>
      <c r="H195" s="18" t="inlineStr">
        <is>
          <t>M</t>
        </is>
      </c>
      <c r="I195" s="18" t="n"/>
      <c r="J195" s="18" t="n"/>
      <c r="K195" s="18" t="inlineStr">
        <is>
          <t>TC-INT-014-01</t>
        </is>
      </c>
      <c r="L195" s="18" t="inlineStr">
        <is>
          <t>Integration (component) + end-to-end SIT</t>
        </is>
      </c>
      <c r="M195" s="18" t="inlineStr">
        <is>
          <t>SIT</t>
        </is>
      </c>
      <c r="N195" s="18" t="inlineStr">
        <is>
          <t>Not Started</t>
        </is>
      </c>
      <c r="O195" s="18" t="n"/>
      <c r="P195" s="18" t="n"/>
      <c r="Q195" s="18" t="inlineStr"/>
    </row>
    <row r="196">
      <c r="A196" s="18" t="inlineStr">
        <is>
          <t>INT-015</t>
        </is>
      </c>
      <c r="B196" s="18" t="inlineStr">
        <is>
          <t>Requirement</t>
        </is>
      </c>
      <c r="C196" s="18" t="inlineStr">
        <is>
          <t>ERP Integration</t>
        </is>
      </c>
      <c r="D196" s="18" t="inlineStr">
        <is>
          <t>D.6.2 Error Handling Rules</t>
        </is>
      </c>
      <c r="E196" s="18" t="inlineStr">
        <is>
          <t>docs/scope/07-erp-integration.md</t>
        </is>
      </c>
      <c r="F196" s="18" t="inlineStr">
        <is>
          <t>Period-end cut-off: a configurable freeze window blocks WMS postings dated in the old period after close; confirmations are posted in the new period with the original physical date captured in reference.</t>
        </is>
      </c>
      <c r="G196" s="18" t="inlineStr">
        <is>
          <t>Rule/requirement enforced as stated (positive + negative case)</t>
        </is>
      </c>
      <c r="H196" s="18" t="inlineStr">
        <is>
          <t>M</t>
        </is>
      </c>
      <c r="I196" s="18" t="n"/>
      <c r="J196" s="18" t="n"/>
      <c r="K196" s="18" t="inlineStr">
        <is>
          <t>TC-INT-015-01</t>
        </is>
      </c>
      <c r="L196" s="18" t="inlineStr">
        <is>
          <t>Integration (component) + end-to-end SIT</t>
        </is>
      </c>
      <c r="M196" s="18" t="inlineStr">
        <is>
          <t>SIT</t>
        </is>
      </c>
      <c r="N196" s="18" t="inlineStr">
        <is>
          <t>Not Started</t>
        </is>
      </c>
      <c r="O196" s="18" t="n"/>
      <c r="P196" s="18" t="n"/>
      <c r="Q196" s="18" t="inlineStr"/>
    </row>
    <row r="197">
      <c r="A197" s="18" t="inlineStr">
        <is>
          <t>IF-IB-001</t>
        </is>
      </c>
      <c r="B197" s="18" t="inlineStr">
        <is>
          <t>Interface</t>
        </is>
      </c>
      <c r="C197" s="18" t="inlineStr">
        <is>
          <t>ERP Interfaces</t>
        </is>
      </c>
      <c r="D197" s="18" t="inlineStr">
        <is>
          <t>D.4.2 Interface Catalogue (Summary)</t>
        </is>
      </c>
      <c r="E197" s="18" t="inlineStr">
        <is>
          <t>docs/scope/07-erp-integration.md</t>
        </is>
      </c>
      <c r="F197" s="18" t="inlineStr">
        <is>
          <t>Inbound delivery / ASN (ERP→WMS), trigger: Create/change</t>
        </is>
      </c>
      <c r="G197" s="18" t="inlineStr">
        <is>
          <t>SAP: DELVRY07 SHP_IBDLV_SAVE_REPLICA | Oracle: ASN extract / REST | Design peak: 5k/day | Latency SLA: ≤ 2 min</t>
        </is>
      </c>
      <c r="H197" s="18" t="inlineStr">
        <is>
          <t>M</t>
        </is>
      </c>
      <c r="I197" s="18" t="n"/>
      <c r="J197" s="18" t="n"/>
      <c r="K197" s="18" t="inlineStr">
        <is>
          <t>TC-IF-IB-001-01</t>
        </is>
      </c>
      <c r="L197" s="18" t="inlineStr">
        <is>
          <t>Interface test per ISD (positive, negative, idempotency, ordering)</t>
        </is>
      </c>
      <c r="M197" s="18" t="inlineStr">
        <is>
          <t>SIT</t>
        </is>
      </c>
      <c r="N197" s="18" t="inlineStr">
        <is>
          <t>Not Started</t>
        </is>
      </c>
      <c r="O197" s="18" t="n"/>
      <c r="P197" s="18" t="n"/>
      <c r="Q197" s="18" t="inlineStr">
        <is>
          <t>Priority defaulted to M (interface in catalogue D.4.2)</t>
        </is>
      </c>
    </row>
    <row r="198">
      <c r="A198" s="18" t="inlineStr">
        <is>
          <t>IF-IB-002</t>
        </is>
      </c>
      <c r="B198" s="18" t="inlineStr">
        <is>
          <t>Interface</t>
        </is>
      </c>
      <c r="C198" s="18" t="inlineStr">
        <is>
          <t>ERP Interfaces</t>
        </is>
      </c>
      <c r="D198" s="18" t="inlineStr">
        <is>
          <t>D.4.2 Interface Catalogue (Summary)</t>
        </is>
      </c>
      <c r="E198" s="18" t="inlineStr">
        <is>
          <t>docs/scope/07-erp-integration.md</t>
        </is>
      </c>
      <c r="F198" s="18" t="inlineStr">
        <is>
          <t>Receipt confirmation (WMS→ERP), trigger: Receipt close / LPN</t>
        </is>
      </c>
      <c r="G198" s="18" t="inlineStr">
        <is>
          <t>SAP: BAPI_INB_DELIVERY_CONFIRM_DEC | Oracle: RCV interface / receivingReceiptRequests | Design peak: 5k/day | Latency SLA: ≤ 2 min</t>
        </is>
      </c>
      <c r="H198" s="18" t="inlineStr">
        <is>
          <t>M</t>
        </is>
      </c>
      <c r="I198" s="18" t="n"/>
      <c r="J198" s="18" t="n"/>
      <c r="K198" s="18" t="inlineStr">
        <is>
          <t>TC-IF-IB-002-01</t>
        </is>
      </c>
      <c r="L198" s="18" t="inlineStr">
        <is>
          <t>Interface test per ISD (positive, negative, idempotency, ordering)</t>
        </is>
      </c>
      <c r="M198" s="18" t="inlineStr">
        <is>
          <t>SIT</t>
        </is>
      </c>
      <c r="N198" s="18" t="inlineStr">
        <is>
          <t>Not Started</t>
        </is>
      </c>
      <c r="O198" s="18" t="n"/>
      <c r="P198" s="18" t="n"/>
      <c r="Q198" s="18" t="inlineStr">
        <is>
          <t>Priority defaulted to M (interface in catalogue D.4.2)</t>
        </is>
      </c>
    </row>
    <row r="199">
      <c r="A199" s="18" t="inlineStr">
        <is>
          <t>IF-INV-001</t>
        </is>
      </c>
      <c r="B199" s="18" t="inlineStr">
        <is>
          <t>Interface</t>
        </is>
      </c>
      <c r="C199" s="18" t="inlineStr">
        <is>
          <t>ERP Interfaces</t>
        </is>
      </c>
      <c r="D199" s="18" t="inlineStr">
        <is>
          <t>D.4.2 Interface Catalogue (Summary)</t>
        </is>
      </c>
      <c r="E199" s="18" t="inlineStr">
        <is>
          <t>docs/scope/07-erp-integration.md</t>
        </is>
      </c>
      <c r="F199" s="18" t="inlineStr">
        <is>
          <t>Goods movements (adjust, status, scrap, transfer) (WMS→ERP), trigger: Event</t>
        </is>
      </c>
      <c r="G199" s="18" t="inlineStr">
        <is>
          <t>SAP: BAPI_GOODSMVT_CREATE / MBGMCR | Oracle: MTL_TRANSACTIONS_INTERFACE / inventoryStagedTransactions | Design peak: 30k/day | Latency SLA: ≤ 2 min</t>
        </is>
      </c>
      <c r="H199" s="18" t="inlineStr">
        <is>
          <t>M</t>
        </is>
      </c>
      <c r="I199" s="18" t="n"/>
      <c r="J199" s="18" t="n"/>
      <c r="K199" s="18" t="inlineStr">
        <is>
          <t>TC-IF-INV-001-01</t>
        </is>
      </c>
      <c r="L199" s="18" t="inlineStr">
        <is>
          <t>Interface test per ISD (positive, negative, idempotency, ordering)</t>
        </is>
      </c>
      <c r="M199" s="18" t="inlineStr">
        <is>
          <t>SIT</t>
        </is>
      </c>
      <c r="N199" s="18" t="inlineStr">
        <is>
          <t>Not Started</t>
        </is>
      </c>
      <c r="O199" s="18" t="n"/>
      <c r="P199" s="18" t="n"/>
      <c r="Q199" s="18" t="inlineStr">
        <is>
          <t>Priority defaulted to M (interface in catalogue D.4.2)</t>
        </is>
      </c>
    </row>
    <row r="200">
      <c r="A200" s="18" t="inlineStr">
        <is>
          <t>IF-INV-002</t>
        </is>
      </c>
      <c r="B200" s="18" t="inlineStr">
        <is>
          <t>Interface</t>
        </is>
      </c>
      <c r="C200" s="18" t="inlineStr">
        <is>
          <t>ERP Interfaces</t>
        </is>
      </c>
      <c r="D200" s="18" t="inlineStr">
        <is>
          <t>D.4.2 Interface Catalogue (Summary)</t>
        </is>
      </c>
      <c r="E200" s="18" t="inlineStr">
        <is>
          <t>docs/scope/07-erp-integration.md</t>
        </is>
      </c>
      <c r="F200" s="18" t="inlineStr">
        <is>
          <t>ERP-originated status changes (QM UD, batch restriction) (ERP→WMS), trigger: Event</t>
        </is>
      </c>
      <c r="G200" s="18" t="inlineStr">
        <is>
          <t>SAP: Event Mesh / custom IDoc | Oracle: Business event / polling | Design peak: 2k/day | Latency SLA: ≤ 60 s</t>
        </is>
      </c>
      <c r="H200" s="18" t="inlineStr">
        <is>
          <t>M</t>
        </is>
      </c>
      <c r="I200" s="18" t="n"/>
      <c r="J200" s="18" t="n"/>
      <c r="K200" s="18" t="inlineStr">
        <is>
          <t>TC-IF-INV-002-01</t>
        </is>
      </c>
      <c r="L200" s="18" t="inlineStr">
        <is>
          <t>Interface test per ISD (positive, negative, idempotency, ordering)</t>
        </is>
      </c>
      <c r="M200" s="18" t="inlineStr">
        <is>
          <t>SIT</t>
        </is>
      </c>
      <c r="N200" s="18" t="inlineStr">
        <is>
          <t>Not Started</t>
        </is>
      </c>
      <c r="O200" s="18" t="n"/>
      <c r="P200" s="18" t="n"/>
      <c r="Q200" s="18" t="inlineStr">
        <is>
          <t>Priority defaulted to M (interface in catalogue D.4.2)</t>
        </is>
      </c>
    </row>
    <row r="201">
      <c r="A201" s="18" t="inlineStr">
        <is>
          <t>IF-INV-003</t>
        </is>
      </c>
      <c r="B201" s="18" t="inlineStr">
        <is>
          <t>Interface</t>
        </is>
      </c>
      <c r="C201" s="18" t="inlineStr">
        <is>
          <t>ERP Interfaces</t>
        </is>
      </c>
      <c r="D201" s="18" t="inlineStr">
        <is>
          <t>D.4.2 Interface Catalogue (Summary)</t>
        </is>
      </c>
      <c r="E201" s="18" t="inlineStr">
        <is>
          <t>docs/scope/07-erp-integration.md</t>
        </is>
      </c>
      <c r="F201" s="18" t="inlineStr">
        <is>
          <t>Stock reconciliation snapshot (Bidirectional), trigger: Scheduled (daily + on-demand)</t>
        </is>
      </c>
      <c r="G201" s="18" t="inlineStr">
        <is>
          <t>SAP: API_MATERIAL_STOCK_SRV / RFC extract | Oracle: Onhand extract (BIP / REST) | Design peak: Full snapshot | Latency SLA: ≤ 30 min</t>
        </is>
      </c>
      <c r="H201" s="18" t="inlineStr">
        <is>
          <t>M</t>
        </is>
      </c>
      <c r="I201" s="18" t="n"/>
      <c r="J201" s="18" t="n"/>
      <c r="K201" s="18" t="inlineStr">
        <is>
          <t>TC-IF-INV-003-01</t>
        </is>
      </c>
      <c r="L201" s="18" t="inlineStr">
        <is>
          <t>Interface test per ISD (positive, negative, idempotency, ordering)</t>
        </is>
      </c>
      <c r="M201" s="18" t="inlineStr">
        <is>
          <t>SIT</t>
        </is>
      </c>
      <c r="N201" s="18" t="inlineStr">
        <is>
          <t>Not Started</t>
        </is>
      </c>
      <c r="O201" s="18" t="n"/>
      <c r="P201" s="18" t="n"/>
      <c r="Q201" s="18" t="inlineStr">
        <is>
          <t>Priority defaulted to M (interface in catalogue D.4.2)</t>
        </is>
      </c>
    </row>
    <row r="202">
      <c r="A202" s="18" t="inlineStr">
        <is>
          <t>IF-INV-004</t>
        </is>
      </c>
      <c r="B202" s="18" t="inlineStr">
        <is>
          <t>Interface</t>
        </is>
      </c>
      <c r="C202" s="18" t="inlineStr">
        <is>
          <t>ERP Interfaces</t>
        </is>
      </c>
      <c r="D202" s="18" t="inlineStr">
        <is>
          <t>D.4.2 Interface Catalogue (Summary)</t>
        </is>
      </c>
      <c r="E202" s="18" t="inlineStr">
        <is>
          <t>docs/scope/07-erp-integration.md</t>
        </is>
      </c>
      <c r="F202" s="18" t="inlineStr">
        <is>
          <t>Physical inventory (WMS→ERP), trigger: Count approval</t>
        </is>
      </c>
      <c r="G202" s="18" t="inlineStr">
        <is>
          <t>SAP: BAPI_MATERIAL_PHYSINV_* | Oracle: MTL_CC_ENTRIES_INTERFACE | Design peak: 10k/day | Latency SLA: ≤ 5 min</t>
        </is>
      </c>
      <c r="H202" s="18" t="inlineStr">
        <is>
          <t>M</t>
        </is>
      </c>
      <c r="I202" s="18" t="n"/>
      <c r="J202" s="18" t="n"/>
      <c r="K202" s="18" t="inlineStr">
        <is>
          <t>TC-IF-INV-004-01</t>
        </is>
      </c>
      <c r="L202" s="18" t="inlineStr">
        <is>
          <t>Interface test per ISD (positive, negative, idempotency, ordering)</t>
        </is>
      </c>
      <c r="M202" s="18" t="inlineStr">
        <is>
          <t>SIT</t>
        </is>
      </c>
      <c r="N202" s="18" t="inlineStr">
        <is>
          <t>Not Started</t>
        </is>
      </c>
      <c r="O202" s="18" t="n"/>
      <c r="P202" s="18" t="n"/>
      <c r="Q202" s="18" t="inlineStr">
        <is>
          <t>Priority defaulted to M (interface in catalogue D.4.2)</t>
        </is>
      </c>
    </row>
    <row r="203">
      <c r="A203" s="18" t="inlineStr">
        <is>
          <t>IF-KIT-001</t>
        </is>
      </c>
      <c r="B203" s="18" t="inlineStr">
        <is>
          <t>Interface</t>
        </is>
      </c>
      <c r="C203" s="18" t="inlineStr">
        <is>
          <t>ERP Interfaces</t>
        </is>
      </c>
      <c r="D203" s="18" t="inlineStr">
        <is>
          <t>D.4.2 Interface Catalogue (Summary)</t>
        </is>
      </c>
      <c r="E203" s="18" t="inlineStr">
        <is>
          <t>docs/scope/07-erp-integration.md</t>
        </is>
      </c>
      <c r="F203" s="18" t="inlineStr">
        <is>
          <t>Kit consumption/production (WMS→ERP), trigger: Completion</t>
        </is>
      </c>
      <c r="G203" s="18" t="inlineStr">
        <is>
          <t>SAP: GM 261/101 / confirmation | Oracle: WIP interfaces / work order txns | Design peak: 5k/day | Latency SLA: ≤ 5 min</t>
        </is>
      </c>
      <c r="H203" s="18" t="inlineStr">
        <is>
          <t>M</t>
        </is>
      </c>
      <c r="I203" s="18" t="n"/>
      <c r="J203" s="18" t="n"/>
      <c r="K203" s="18" t="inlineStr">
        <is>
          <t>TC-IF-KIT-001-01</t>
        </is>
      </c>
      <c r="L203" s="18" t="inlineStr">
        <is>
          <t>Interface test per ISD (positive, negative, idempotency, ordering)</t>
        </is>
      </c>
      <c r="M203" s="18" t="inlineStr">
        <is>
          <t>SIT</t>
        </is>
      </c>
      <c r="N203" s="18" t="inlineStr">
        <is>
          <t>Not Started</t>
        </is>
      </c>
      <c r="O203" s="18" t="n"/>
      <c r="P203" s="18" t="n"/>
      <c r="Q203" s="18" t="inlineStr">
        <is>
          <t>Priority defaulted to M (interface in catalogue D.4.2)</t>
        </is>
      </c>
    </row>
    <row r="204">
      <c r="A204" s="18" t="inlineStr">
        <is>
          <t>IF-MD-001</t>
        </is>
      </c>
      <c r="B204" s="18" t="inlineStr">
        <is>
          <t>Interface</t>
        </is>
      </c>
      <c r="C204" s="18" t="inlineStr">
        <is>
          <t>ERP Interfaces</t>
        </is>
      </c>
      <c r="D204" s="18" t="inlineStr">
        <is>
          <t>D.4.2 Interface Catalogue (Summary)</t>
        </is>
      </c>
      <c r="E204" s="18" t="inlineStr">
        <is>
          <t>docs/scope/07-erp-integration.md</t>
        </is>
      </c>
      <c r="F204" s="18" t="inlineStr">
        <is>
          <t>Item (ERP→WMS), trigger: Change</t>
        </is>
      </c>
      <c r="G204" s="18" t="inlineStr">
        <is>
          <t>SAP: MATMAS / OData | Oracle: Event + REST / extract | Design peak: 50k/day | Latency SLA: ≤ 5 min</t>
        </is>
      </c>
      <c r="H204" s="18" t="inlineStr">
        <is>
          <t>M</t>
        </is>
      </c>
      <c r="I204" s="18" t="n"/>
      <c r="J204" s="18" t="n"/>
      <c r="K204" s="18" t="inlineStr">
        <is>
          <t>TC-IF-MD-001-01</t>
        </is>
      </c>
      <c r="L204" s="18" t="inlineStr">
        <is>
          <t>Interface test per ISD (positive, negative, idempotency, ordering)</t>
        </is>
      </c>
      <c r="M204" s="18" t="inlineStr">
        <is>
          <t>SIT</t>
        </is>
      </c>
      <c r="N204" s="18" t="inlineStr">
        <is>
          <t>Not Started</t>
        </is>
      </c>
      <c r="O204" s="18" t="n"/>
      <c r="P204" s="18" t="n"/>
      <c r="Q204" s="18" t="inlineStr">
        <is>
          <t>Priority defaulted to M (interface in catalogue D.4.2)</t>
        </is>
      </c>
    </row>
    <row r="205">
      <c r="A205" s="18" t="inlineStr">
        <is>
          <t>IF-MD-002</t>
        </is>
      </c>
      <c r="B205" s="18" t="inlineStr">
        <is>
          <t>Interface</t>
        </is>
      </c>
      <c r="C205" s="18" t="inlineStr">
        <is>
          <t>ERP Interfaces</t>
        </is>
      </c>
      <c r="D205" s="18" t="inlineStr">
        <is>
          <t>D.4.2 Interface Catalogue (Summary)</t>
        </is>
      </c>
      <c r="E205" s="18" t="inlineStr">
        <is>
          <t>docs/scope/07-erp-integration.md</t>
        </is>
      </c>
      <c r="F205" s="18" t="inlineStr">
        <is>
          <t>Customer/Ship-to (ERP→WMS), trigger: Change</t>
        </is>
      </c>
      <c r="G205" s="18" t="inlineStr">
        <is>
          <t>SAP: DEBMAS / BP API | Oracle: TCA extract / REST | Design peak: 10k/day | Latency SLA: ≤ 15 min</t>
        </is>
      </c>
      <c r="H205" s="18" t="inlineStr">
        <is>
          <t>M</t>
        </is>
      </c>
      <c r="I205" s="18" t="n"/>
      <c r="J205" s="18" t="n"/>
      <c r="K205" s="18" t="inlineStr">
        <is>
          <t>TC-IF-MD-002-01</t>
        </is>
      </c>
      <c r="L205" s="18" t="inlineStr">
        <is>
          <t>Interface test per ISD (positive, negative, idempotency, ordering)</t>
        </is>
      </c>
      <c r="M205" s="18" t="inlineStr">
        <is>
          <t>SIT</t>
        </is>
      </c>
      <c r="N205" s="18" t="inlineStr">
        <is>
          <t>Not Started</t>
        </is>
      </c>
      <c r="O205" s="18" t="n"/>
      <c r="P205" s="18" t="n"/>
      <c r="Q205" s="18" t="inlineStr">
        <is>
          <t>Priority defaulted to M (interface in catalogue D.4.2)</t>
        </is>
      </c>
    </row>
    <row r="206">
      <c r="A206" s="18" t="inlineStr">
        <is>
          <t>IF-MD-003</t>
        </is>
      </c>
      <c r="B206" s="18" t="inlineStr">
        <is>
          <t>Interface</t>
        </is>
      </c>
      <c r="C206" s="18" t="inlineStr">
        <is>
          <t>ERP Interfaces</t>
        </is>
      </c>
      <c r="D206" s="18" t="inlineStr">
        <is>
          <t>D.4.2 Interface Catalogue (Summary)</t>
        </is>
      </c>
      <c r="E206" s="18" t="inlineStr">
        <is>
          <t>docs/scope/07-erp-integration.md</t>
        </is>
      </c>
      <c r="F206" s="18" t="inlineStr">
        <is>
          <t>Vendor (ERP→WMS), trigger: Change</t>
        </is>
      </c>
      <c r="G206" s="18" t="inlineStr">
        <is>
          <t>SAP: CREMAS / BP API | Oracle: Supplier REST | Design peak: 2k/day | Latency SLA: ≤ 15 min</t>
        </is>
      </c>
      <c r="H206" s="18" t="inlineStr">
        <is>
          <t>M</t>
        </is>
      </c>
      <c r="I206" s="18" t="n"/>
      <c r="J206" s="18" t="n"/>
      <c r="K206" s="18" t="inlineStr">
        <is>
          <t>TC-IF-MD-003-01</t>
        </is>
      </c>
      <c r="L206" s="18" t="inlineStr">
        <is>
          <t>Interface test per ISD (positive, negative, idempotency, ordering)</t>
        </is>
      </c>
      <c r="M206" s="18" t="inlineStr">
        <is>
          <t>SIT</t>
        </is>
      </c>
      <c r="N206" s="18" t="inlineStr">
        <is>
          <t>Not Started</t>
        </is>
      </c>
      <c r="O206" s="18" t="n"/>
      <c r="P206" s="18" t="n"/>
      <c r="Q206" s="18" t="inlineStr">
        <is>
          <t>Priority defaulted to M (interface in catalogue D.4.2)</t>
        </is>
      </c>
    </row>
    <row r="207">
      <c r="A207" s="18" t="inlineStr">
        <is>
          <t>IF-MD-004</t>
        </is>
      </c>
      <c r="B207" s="18" t="inlineStr">
        <is>
          <t>Interface</t>
        </is>
      </c>
      <c r="C207" s="18" t="inlineStr">
        <is>
          <t>ERP Interfaces</t>
        </is>
      </c>
      <c r="D207" s="18" t="inlineStr">
        <is>
          <t>D.4.2 Interface Catalogue (Summary)</t>
        </is>
      </c>
      <c r="E207" s="18" t="inlineStr">
        <is>
          <t>docs/scope/07-erp-integration.md</t>
        </is>
      </c>
      <c r="F207" s="18" t="inlineStr">
        <is>
          <t>Batch / status (ERP→WMS), trigger: Change</t>
        </is>
      </c>
      <c r="G207" s="18" t="inlineStr">
        <is>
          <t>SAP: BATMAS+CLFMAS | Oracle: Lot / status | Design peak: 20k/day | Latency SLA: ≤ 60 s (status)</t>
        </is>
      </c>
      <c r="H207" s="18" t="inlineStr">
        <is>
          <t>M</t>
        </is>
      </c>
      <c r="I207" s="18" t="n"/>
      <c r="J207" s="18" t="n"/>
      <c r="K207" s="18" t="inlineStr">
        <is>
          <t>TC-IF-MD-004-01</t>
        </is>
      </c>
      <c r="L207" s="18" t="inlineStr">
        <is>
          <t>Interface test per ISD (positive, negative, idempotency, ordering)</t>
        </is>
      </c>
      <c r="M207" s="18" t="inlineStr">
        <is>
          <t>SIT</t>
        </is>
      </c>
      <c r="N207" s="18" t="inlineStr">
        <is>
          <t>Not Started</t>
        </is>
      </c>
      <c r="O207" s="18" t="n"/>
      <c r="P207" s="18" t="n"/>
      <c r="Q207" s="18" t="inlineStr">
        <is>
          <t>Priority defaulted to M (interface in catalogue D.4.2)</t>
        </is>
      </c>
    </row>
    <row r="208">
      <c r="A208" s="18" t="inlineStr">
        <is>
          <t>IF-OB-001</t>
        </is>
      </c>
      <c r="B208" s="18" t="inlineStr">
        <is>
          <t>Interface</t>
        </is>
      </c>
      <c r="C208" s="18" t="inlineStr">
        <is>
          <t>ERP Interfaces</t>
        </is>
      </c>
      <c r="D208" s="18" t="inlineStr">
        <is>
          <t>D.4.2 Interface Catalogue (Summary)</t>
        </is>
      </c>
      <c r="E208" s="18" t="inlineStr">
        <is>
          <t>docs/scope/07-erp-integration.md</t>
        </is>
      </c>
      <c r="F208" s="18" t="inlineStr">
        <is>
          <t>Outbound delivery / shipment request (ERP→WMS), trigger: Create/change</t>
        </is>
      </c>
      <c r="G208" s="18" t="inlineStr">
        <is>
          <t>SAP: DELVRY07 SHP_OBDLV_SAVE_REPLICA | Oracle: Shipment Request | Design peak: 200k/day | Latency SLA: ≤ 1 min</t>
        </is>
      </c>
      <c r="H208" s="18" t="inlineStr">
        <is>
          <t>M</t>
        </is>
      </c>
      <c r="I208" s="18" t="n"/>
      <c r="J208" s="18" t="n"/>
      <c r="K208" s="18" t="inlineStr">
        <is>
          <t>TC-IF-OB-001-01</t>
        </is>
      </c>
      <c r="L208" s="18" t="inlineStr">
        <is>
          <t>Interface test per ISD (positive, negative, idempotency, ordering)</t>
        </is>
      </c>
      <c r="M208" s="18" t="inlineStr">
        <is>
          <t>SIT</t>
        </is>
      </c>
      <c r="N208" s="18" t="inlineStr">
        <is>
          <t>Not Started</t>
        </is>
      </c>
      <c r="O208" s="18" t="n"/>
      <c r="P208" s="18" t="n"/>
      <c r="Q208" s="18" t="inlineStr">
        <is>
          <t>Priority defaulted to M (interface in catalogue D.4.2)</t>
        </is>
      </c>
    </row>
    <row r="209">
      <c r="A209" s="18" t="inlineStr">
        <is>
          <t>IF-OB-002</t>
        </is>
      </c>
      <c r="B209" s="18" t="inlineStr">
        <is>
          <t>Interface</t>
        </is>
      </c>
      <c r="C209" s="18" t="inlineStr">
        <is>
          <t>ERP Interfaces</t>
        </is>
      </c>
      <c r="D209" s="18" t="inlineStr">
        <is>
          <t>D.4.2 Interface Catalogue (Summary)</t>
        </is>
      </c>
      <c r="E209" s="18" t="inlineStr">
        <is>
          <t>docs/scope/07-erp-integration.md</t>
        </is>
      </c>
      <c r="F209" s="18" t="inlineStr">
        <is>
          <t>Cancel / change response (WMS→ERP), trigger: On request</t>
        </is>
      </c>
      <c r="G209" s="18" t="inlineStr">
        <is>
          <t>SAP: ALEAUD / status | Oracle: Shipment Request ack | Design peak: 5k/day | Latency SLA: ≤ 1 min</t>
        </is>
      </c>
      <c r="H209" s="18" t="inlineStr">
        <is>
          <t>M</t>
        </is>
      </c>
      <c r="I209" s="18" t="n"/>
      <c r="J209" s="18" t="n"/>
      <c r="K209" s="18" t="inlineStr">
        <is>
          <t>TC-IF-OB-002-01</t>
        </is>
      </c>
      <c r="L209" s="18" t="inlineStr">
        <is>
          <t>Interface test per ISD (positive, negative, idempotency, ordering)</t>
        </is>
      </c>
      <c r="M209" s="18" t="inlineStr">
        <is>
          <t>SIT</t>
        </is>
      </c>
      <c r="N209" s="18" t="inlineStr">
        <is>
          <t>Not Started</t>
        </is>
      </c>
      <c r="O209" s="18" t="n"/>
      <c r="P209" s="18" t="n"/>
      <c r="Q209" s="18" t="inlineStr">
        <is>
          <t>Priority defaulted to M (interface in catalogue D.4.2)</t>
        </is>
      </c>
    </row>
    <row r="210">
      <c r="A210" s="18" t="inlineStr">
        <is>
          <t>IF-OB-003</t>
        </is>
      </c>
      <c r="B210" s="18" t="inlineStr">
        <is>
          <t>Interface</t>
        </is>
      </c>
      <c r="C210" s="18" t="inlineStr">
        <is>
          <t>ERP Interfaces</t>
        </is>
      </c>
      <c r="D210" s="18" t="inlineStr">
        <is>
          <t>D.4.2 Interface Catalogue (Summary)</t>
        </is>
      </c>
      <c r="E210" s="18" t="inlineStr">
        <is>
          <t>docs/scope/07-erp-integration.md</t>
        </is>
      </c>
      <c r="F210" s="18" t="inlineStr">
        <is>
          <t>Shipment confirmation + PGI (WMS→ERP), trigger: Trailer close / parcel ship</t>
        </is>
      </c>
      <c r="G210" s="18" t="inlineStr">
        <is>
          <t>SAP: BAPI_OUTB_DELIVERY_CONFIRM_DEC | Oracle: Shipment Advice / ship confirm | Design peak: 200k/day | Latency SLA: ≤ 2 min</t>
        </is>
      </c>
      <c r="H210" s="18" t="inlineStr">
        <is>
          <t>M</t>
        </is>
      </c>
      <c r="I210" s="18" t="n"/>
      <c r="J210" s="18" t="n"/>
      <c r="K210" s="18" t="inlineStr">
        <is>
          <t>TC-IF-OB-003-01</t>
        </is>
      </c>
      <c r="L210" s="18" t="inlineStr">
        <is>
          <t>Interface test per ISD (positive, negative, idempotency, ordering)</t>
        </is>
      </c>
      <c r="M210" s="18" t="inlineStr">
        <is>
          <t>SIT</t>
        </is>
      </c>
      <c r="N210" s="18" t="inlineStr">
        <is>
          <t>Not Started</t>
        </is>
      </c>
      <c r="O210" s="18" t="n"/>
      <c r="P210" s="18" t="n"/>
      <c r="Q210" s="18" t="inlineStr">
        <is>
          <t>Priority defaulted to M (interface in catalogue D.4.2)</t>
        </is>
      </c>
    </row>
    <row r="211">
      <c r="A211" s="18" t="inlineStr">
        <is>
          <t>IF-OB-004</t>
        </is>
      </c>
      <c r="B211" s="18" t="inlineStr">
        <is>
          <t>Interface</t>
        </is>
      </c>
      <c r="C211" s="18" t="inlineStr">
        <is>
          <t>ERP Interfaces</t>
        </is>
      </c>
      <c r="D211" s="18" t="inlineStr">
        <is>
          <t>D.4.2 Interface Catalogue (Summary)</t>
        </is>
      </c>
      <c r="E211" s="18" t="inlineStr">
        <is>
          <t>docs/scope/07-erp-integration.md</t>
        </is>
      </c>
      <c r="F211" s="18" t="inlineStr">
        <is>
          <t>Delivery split (WMS→ERP), trigger: Short</t>
        </is>
      </c>
      <c r="G211" s="18" t="inlineStr">
        <is>
          <t>SAP: BAPI_OUTB_DELIVERY_SPLIT_DEC | Oracle: (via Shipment Advice backorder) | Design peak: 5k/day | Latency SLA: ≤ 2 min</t>
        </is>
      </c>
      <c r="H211" s="18" t="inlineStr">
        <is>
          <t>M</t>
        </is>
      </c>
      <c r="I211" s="18" t="n"/>
      <c r="J211" s="18" t="n"/>
      <c r="K211" s="18" t="inlineStr">
        <is>
          <t>TC-IF-OB-004-01</t>
        </is>
      </c>
      <c r="L211" s="18" t="inlineStr">
        <is>
          <t>Interface test per ISD (positive, negative, idempotency, ordering)</t>
        </is>
      </c>
      <c r="M211" s="18" t="inlineStr">
        <is>
          <t>SIT</t>
        </is>
      </c>
      <c r="N211" s="18" t="inlineStr">
        <is>
          <t>Not Started</t>
        </is>
      </c>
      <c r="O211" s="18" t="n"/>
      <c r="P211" s="18" t="n"/>
      <c r="Q211" s="18" t="inlineStr">
        <is>
          <t>Priority defaulted to M (interface in catalogue D.4.2)</t>
        </is>
      </c>
    </row>
    <row r="212">
      <c r="A212" s="18" t="inlineStr">
        <is>
          <t>IF-RET-001</t>
        </is>
      </c>
      <c r="B212" s="18" t="inlineStr">
        <is>
          <t>Interface</t>
        </is>
      </c>
      <c r="C212" s="18" t="inlineStr">
        <is>
          <t>ERP Interfaces</t>
        </is>
      </c>
      <c r="D212" s="18" t="inlineStr">
        <is>
          <t>D.4.2 Interface Catalogue (Summary)</t>
        </is>
      </c>
      <c r="E212" s="18" t="inlineStr">
        <is>
          <t>docs/scope/07-erp-integration.md</t>
        </is>
      </c>
      <c r="F212" s="18" t="inlineStr">
        <is>
          <t>Returns expectation (ERP→WMS), trigger: Create</t>
        </is>
      </c>
      <c r="G212" s="18" t="inlineStr">
        <is>
          <t>SAP: DELVRY07 (LR) | Oracle: RMA | Design peak: 10k/day | Latency SLA: ≤ 5 min</t>
        </is>
      </c>
      <c r="H212" s="18" t="inlineStr">
        <is>
          <t>M</t>
        </is>
      </c>
      <c r="I212" s="18" t="n"/>
      <c r="J212" s="18" t="n"/>
      <c r="K212" s="18" t="inlineStr">
        <is>
          <t>TC-IF-RET-001-01</t>
        </is>
      </c>
      <c r="L212" s="18" t="inlineStr">
        <is>
          <t>Interface test per ISD (positive, negative, idempotency, ordering)</t>
        </is>
      </c>
      <c r="M212" s="18" t="inlineStr">
        <is>
          <t>SIT</t>
        </is>
      </c>
      <c r="N212" s="18" t="inlineStr">
        <is>
          <t>Not Started</t>
        </is>
      </c>
      <c r="O212" s="18" t="n"/>
      <c r="P212" s="18" t="n"/>
      <c r="Q212" s="18" t="inlineStr">
        <is>
          <t>Priority defaulted to M (interface in catalogue D.4.2)</t>
        </is>
      </c>
    </row>
    <row r="213">
      <c r="A213" s="18" t="inlineStr">
        <is>
          <t>IF-RET-002</t>
        </is>
      </c>
      <c r="B213" s="18" t="inlineStr">
        <is>
          <t>Interface</t>
        </is>
      </c>
      <c r="C213" s="18" t="inlineStr">
        <is>
          <t>ERP Interfaces</t>
        </is>
      </c>
      <c r="D213" s="18" t="inlineStr">
        <is>
          <t>D.4.2 Interface Catalogue (Summary)</t>
        </is>
      </c>
      <c r="E213" s="18" t="inlineStr">
        <is>
          <t>docs/scope/07-erp-integration.md</t>
        </is>
      </c>
      <c r="F213" s="18" t="inlineStr">
        <is>
          <t>Returns receipt + disposition (WMS→ERP), trigger: Receipt</t>
        </is>
      </c>
      <c r="G213" s="18" t="inlineStr">
        <is>
          <t>SAP: BAPI_INB_DELIVERY_CONFIRM_DEC + GM | Oracle: RCV interface + transfers | Design peak: 10k/day | Latency SLA: ≤ 5 min</t>
        </is>
      </c>
      <c r="H213" s="18" t="inlineStr">
        <is>
          <t>M</t>
        </is>
      </c>
      <c r="I213" s="18" t="n"/>
      <c r="J213" s="18" t="n"/>
      <c r="K213" s="18" t="inlineStr">
        <is>
          <t>TC-IF-RET-002-01</t>
        </is>
      </c>
      <c r="L213" s="18" t="inlineStr">
        <is>
          <t>Interface test per ISD (positive, negative, idempotency, ordering)</t>
        </is>
      </c>
      <c r="M213" s="18" t="inlineStr">
        <is>
          <t>SIT</t>
        </is>
      </c>
      <c r="N213" s="18" t="inlineStr">
        <is>
          <t>Not Started</t>
        </is>
      </c>
      <c r="O213" s="18" t="n"/>
      <c r="P213" s="18" t="n"/>
      <c r="Q213" s="18" t="inlineStr">
        <is>
          <t>Priority defaulted to M (interface in catalogue D.4.2)</t>
        </is>
      </c>
    </row>
    <row r="214">
      <c r="A214" s="18" t="inlineStr">
        <is>
          <t>NFR-001</t>
        </is>
      </c>
      <c r="B214" s="18" t="inlineStr">
        <is>
          <t>Requirement</t>
        </is>
      </c>
      <c r="C214" s="18" t="inlineStr">
        <is>
          <t>Non-Functional</t>
        </is>
      </c>
      <c r="D214" s="18" t="inlineStr">
        <is>
          <t>E.1 Scalability</t>
        </is>
      </c>
      <c r="E214" s="18" t="inlineStr">
        <is>
          <t>docs/scope/08-non-functional-requirements.md</t>
        </is>
      </c>
      <c r="F214" s="18" t="inlineStr">
        <is>
          <t>Horizontal scaling of stateless services (API, task, allocation, integration) via container orchestration autoscaling on CPU, queue depth, and p95 latency.</t>
        </is>
      </c>
      <c r="G214" s="18" t="inlineStr">
        <is>
          <t>Rule/requirement enforced as stated (positive + negative case)</t>
        </is>
      </c>
      <c r="H214" s="18" t="inlineStr">
        <is>
          <t>M</t>
        </is>
      </c>
      <c r="I214" s="18" t="n"/>
      <c r="J214" s="18" t="n"/>
      <c r="K214" s="18" t="inlineStr">
        <is>
          <t>TC-NFR-001-01</t>
        </is>
      </c>
      <c r="L214" s="18" t="inlineStr">
        <is>
          <t>Performance / scalability</t>
        </is>
      </c>
      <c r="M214" s="18" t="inlineStr">
        <is>
          <t>PERF</t>
        </is>
      </c>
      <c r="N214" s="18" t="inlineStr">
        <is>
          <t>Not Started</t>
        </is>
      </c>
      <c r="O214" s="18" t="n"/>
      <c r="P214" s="18" t="n"/>
      <c r="Q214" s="18" t="inlineStr"/>
    </row>
    <row r="215">
      <c r="A215" s="18" t="inlineStr">
        <is>
          <t>NFR-002</t>
        </is>
      </c>
      <c r="B215" s="18" t="inlineStr">
        <is>
          <t>Requirement</t>
        </is>
      </c>
      <c r="C215" s="18" t="inlineStr">
        <is>
          <t>Non-Functional</t>
        </is>
      </c>
      <c r="D215" s="18" t="inlineStr">
        <is>
          <t>E.1 Scalability</t>
        </is>
      </c>
      <c r="E215" s="18" t="inlineStr">
        <is>
          <t>docs/scope/08-non-functional-requirements.md</t>
        </is>
      </c>
      <c r="F215" s="18" t="inlineStr">
        <is>
          <t>Data partitioned by tenant_id + site_id; large tenants can be placed on dedicated database clusters (cell-based architecture) without code change.</t>
        </is>
      </c>
      <c r="G215" s="18" t="inlineStr">
        <is>
          <t>Rule/requirement enforced as stated (positive + negative case)</t>
        </is>
      </c>
      <c r="H215" s="18" t="inlineStr">
        <is>
          <t>M</t>
        </is>
      </c>
      <c r="I215" s="18" t="n"/>
      <c r="J215" s="18" t="n"/>
      <c r="K215" s="18" t="inlineStr">
        <is>
          <t>TC-NFR-002-01</t>
        </is>
      </c>
      <c r="L215" s="18" t="inlineStr">
        <is>
          <t>Performance / scalability</t>
        </is>
      </c>
      <c r="M215" s="18" t="inlineStr">
        <is>
          <t>PERF</t>
        </is>
      </c>
      <c r="N215" s="18" t="inlineStr">
        <is>
          <t>Not Started</t>
        </is>
      </c>
      <c r="O215" s="18" t="n"/>
      <c r="P215" s="18" t="n"/>
      <c r="Q215" s="18" t="inlineStr"/>
    </row>
    <row r="216">
      <c r="A216" s="18" t="inlineStr">
        <is>
          <t>NFR-003</t>
        </is>
      </c>
      <c r="B216" s="18" t="inlineStr">
        <is>
          <t>Requirement</t>
        </is>
      </c>
      <c r="C216" s="18" t="inlineStr">
        <is>
          <t>Non-Functional</t>
        </is>
      </c>
      <c r="D216" s="18" t="inlineStr">
        <is>
          <t>E.1 Scalability</t>
        </is>
      </c>
      <c r="E216" s="18" t="inlineStr">
        <is>
          <t>docs/scope/08-non-functional-requirements.md</t>
        </is>
      </c>
      <c r="F216" s="18" t="inlineStr">
        <is>
          <t>Adding a site requires no downtime and no schema change.</t>
        </is>
      </c>
      <c r="G216" s="18" t="inlineStr">
        <is>
          <t>Rule/requirement enforced as stated (positive + negative case)</t>
        </is>
      </c>
      <c r="H216" s="18" t="inlineStr">
        <is>
          <t>M</t>
        </is>
      </c>
      <c r="I216" s="18" t="n"/>
      <c r="J216" s="18" t="n"/>
      <c r="K216" s="18" t="inlineStr">
        <is>
          <t>TC-NFR-003-01</t>
        </is>
      </c>
      <c r="L216" s="18" t="inlineStr">
        <is>
          <t>Performance / scalability</t>
        </is>
      </c>
      <c r="M216" s="18" t="inlineStr">
        <is>
          <t>PERF</t>
        </is>
      </c>
      <c r="N216" s="18" t="inlineStr">
        <is>
          <t>Not Started</t>
        </is>
      </c>
      <c r="O216" s="18" t="n"/>
      <c r="P216" s="18" t="n"/>
      <c r="Q216" s="18" t="inlineStr"/>
    </row>
    <row r="217">
      <c r="A217" s="18" t="inlineStr">
        <is>
          <t>NFR-004</t>
        </is>
      </c>
      <c r="B217" s="18" t="inlineStr">
        <is>
          <t>Requirement</t>
        </is>
      </c>
      <c r="C217" s="18" t="inlineStr">
        <is>
          <t>Non-Functional</t>
        </is>
      </c>
      <c r="D217" s="18" t="inlineStr">
        <is>
          <t>E.1 Scalability</t>
        </is>
      </c>
      <c r="E217" s="18" t="inlineStr">
        <is>
          <t>docs/scope/08-non-functional-requirements.md</t>
        </is>
      </c>
      <c r="F217" s="18" t="inlineStr">
        <is>
          <t>Linear throughput scaling to 3× reference load demonstrated in performance test with ≤ 10% p95 degradation.</t>
        </is>
      </c>
      <c r="G217" s="18" t="inlineStr">
        <is>
          <t>Rule/requirement enforced as stated (positive + negative case)</t>
        </is>
      </c>
      <c r="H217" s="18" t="inlineStr">
        <is>
          <t>M</t>
        </is>
      </c>
      <c r="I217" s="18" t="n"/>
      <c r="J217" s="18" t="n"/>
      <c r="K217" s="18" t="inlineStr">
        <is>
          <t>TC-NFR-004-01</t>
        </is>
      </c>
      <c r="L217" s="18" t="inlineStr">
        <is>
          <t>Performance / scalability</t>
        </is>
      </c>
      <c r="M217" s="18" t="inlineStr">
        <is>
          <t>PERF</t>
        </is>
      </c>
      <c r="N217" s="18" t="inlineStr">
        <is>
          <t>Not Started</t>
        </is>
      </c>
      <c r="O217" s="18" t="n"/>
      <c r="P217" s="18" t="n"/>
      <c r="Q217" s="18" t="inlineStr"/>
    </row>
    <row r="218">
      <c r="A218" s="18" t="inlineStr">
        <is>
          <t>NFR-005</t>
        </is>
      </c>
      <c r="B218" s="18" t="inlineStr">
        <is>
          <t>Requirement</t>
        </is>
      </c>
      <c r="C218" s="18" t="inlineStr">
        <is>
          <t>Non-Functional</t>
        </is>
      </c>
      <c r="D218" s="18" t="inlineStr">
        <is>
          <t>E.1 Scalability</t>
        </is>
      </c>
      <c r="E218" s="18" t="inlineStr">
        <is>
          <t>docs/scope/08-non-functional-requirements.md</t>
        </is>
      </c>
      <c r="F218" s="18" t="inlineStr">
        <is>
          <t>Peak handling: 4× average hourly volume sustained for 4 h (e.g., Black Friday), pre-scaling via scheduled capacity profiles.</t>
        </is>
      </c>
      <c r="G218" s="18" t="inlineStr">
        <is>
          <t>Rule/requirement enforced as stated (positive + negative case)</t>
        </is>
      </c>
      <c r="H218" s="18" t="inlineStr">
        <is>
          <t>M</t>
        </is>
      </c>
      <c r="I218" s="18" t="n"/>
      <c r="J218" s="18" t="n"/>
      <c r="K218" s="18" t="inlineStr">
        <is>
          <t>TC-NFR-005-01</t>
        </is>
      </c>
      <c r="L218" s="18" t="inlineStr">
        <is>
          <t>Performance / scalability</t>
        </is>
      </c>
      <c r="M218" s="18" t="inlineStr">
        <is>
          <t>PERF</t>
        </is>
      </c>
      <c r="N218" s="18" t="inlineStr">
        <is>
          <t>Not Started</t>
        </is>
      </c>
      <c r="O218" s="18" t="n"/>
      <c r="P218" s="18" t="n"/>
      <c r="Q218" s="18" t="inlineStr"/>
    </row>
    <row r="219">
      <c r="A219" s="18" t="inlineStr">
        <is>
          <t>NFR-020</t>
        </is>
      </c>
      <c r="B219" s="18" t="inlineStr">
        <is>
          <t>Requirement</t>
        </is>
      </c>
      <c r="C219" s="18" t="inlineStr">
        <is>
          <t>Non-Functional</t>
        </is>
      </c>
      <c r="D219" s="18" t="inlineStr">
        <is>
          <t>E.3 High Availability &amp; Disaster Recovery</t>
        </is>
      </c>
      <c r="E219" s="18" t="inlineStr">
        <is>
          <t>docs/scope/08-non-functional-requirements.md</t>
        </is>
      </c>
      <c r="F219" s="18" t="inlineStr">
        <is>
          <t>Service availability (monthly, excluding agreed maintenance)</t>
        </is>
      </c>
      <c r="G219" s="18" t="inlineStr">
        <is>
          <t>Target: 99.95% (≤ 22 min/month)</t>
        </is>
      </c>
      <c r="H219" s="18" t="inlineStr">
        <is>
          <t>M</t>
        </is>
      </c>
      <c r="I219" s="18" t="n"/>
      <c r="J219" s="18" t="n"/>
      <c r="K219" s="18" t="inlineStr">
        <is>
          <t>TC-NFR-020-01</t>
        </is>
      </c>
      <c r="L219" s="18" t="inlineStr">
        <is>
          <t>Resilience / DR</t>
        </is>
      </c>
      <c r="M219" s="18" t="inlineStr">
        <is>
          <t>PERF; DR</t>
        </is>
      </c>
      <c r="N219" s="18" t="inlineStr">
        <is>
          <t>Not Started</t>
        </is>
      </c>
      <c r="O219" s="18" t="n"/>
      <c r="P219" s="18" t="n"/>
      <c r="Q219" s="18" t="inlineStr">
        <is>
          <t>Priority defaulted to M (HA/DR target; see Legend)</t>
        </is>
      </c>
    </row>
    <row r="220">
      <c r="A220" s="18" t="inlineStr">
        <is>
          <t>NFR-021</t>
        </is>
      </c>
      <c r="B220" s="18" t="inlineStr">
        <is>
          <t>Requirement</t>
        </is>
      </c>
      <c r="C220" s="18" t="inlineStr">
        <is>
          <t>Non-Functional</t>
        </is>
      </c>
      <c r="D220" s="18" t="inlineStr">
        <is>
          <t>E.3 High Availability &amp; Disaster Recovery</t>
        </is>
      </c>
      <c r="E220" s="18" t="inlineStr">
        <is>
          <t>docs/scope/08-non-functional-requirements.md</t>
        </is>
      </c>
      <c r="F220" s="18" t="inlineStr">
        <is>
          <t>Planned maintenance</t>
        </is>
      </c>
      <c r="G220" s="18" t="inlineStr">
        <is>
          <t>Target: Zero-downtime deployments (rolling / blue-green); schema migrations backward-compatible (expand/contract)</t>
        </is>
      </c>
      <c r="H220" s="18" t="inlineStr">
        <is>
          <t>M</t>
        </is>
      </c>
      <c r="I220" s="18" t="n"/>
      <c r="J220" s="18" t="n"/>
      <c r="K220" s="18" t="inlineStr">
        <is>
          <t>TC-NFR-021-01</t>
        </is>
      </c>
      <c r="L220" s="18" t="inlineStr">
        <is>
          <t>Resilience / DR</t>
        </is>
      </c>
      <c r="M220" s="18" t="inlineStr">
        <is>
          <t>PERF; DR</t>
        </is>
      </c>
      <c r="N220" s="18" t="inlineStr">
        <is>
          <t>Not Started</t>
        </is>
      </c>
      <c r="O220" s="18" t="n"/>
      <c r="P220" s="18" t="n"/>
      <c r="Q220" s="18" t="inlineStr">
        <is>
          <t>Priority defaulted to M (HA/DR target; see Legend)</t>
        </is>
      </c>
    </row>
    <row r="221">
      <c r="A221" s="18" t="inlineStr">
        <is>
          <t>NFR-022</t>
        </is>
      </c>
      <c r="B221" s="18" t="inlineStr">
        <is>
          <t>Requirement</t>
        </is>
      </c>
      <c r="C221" s="18" t="inlineStr">
        <is>
          <t>Non-Functional</t>
        </is>
      </c>
      <c r="D221" s="18" t="inlineStr">
        <is>
          <t>E.3 High Availability &amp; Disaster Recovery</t>
        </is>
      </c>
      <c r="E221" s="18" t="inlineStr">
        <is>
          <t>docs/scope/08-non-functional-requirements.md</t>
        </is>
      </c>
      <c r="F221" s="18" t="inlineStr">
        <is>
          <t>Multi-AZ deployment of all tiers</t>
        </is>
      </c>
      <c r="G221" s="18" t="inlineStr">
        <is>
          <t>Target: 3 availability zones; synchronous DB replication within region</t>
        </is>
      </c>
      <c r="H221" s="18" t="inlineStr">
        <is>
          <t>M</t>
        </is>
      </c>
      <c r="I221" s="18" t="n"/>
      <c r="J221" s="18" t="n"/>
      <c r="K221" s="18" t="inlineStr">
        <is>
          <t>TC-NFR-022-01</t>
        </is>
      </c>
      <c r="L221" s="18" t="inlineStr">
        <is>
          <t>Resilience / DR</t>
        </is>
      </c>
      <c r="M221" s="18" t="inlineStr">
        <is>
          <t>PERF; DR</t>
        </is>
      </c>
      <c r="N221" s="18" t="inlineStr">
        <is>
          <t>Not Started</t>
        </is>
      </c>
      <c r="O221" s="18" t="n"/>
      <c r="P221" s="18" t="n"/>
      <c r="Q221" s="18" t="inlineStr">
        <is>
          <t>Priority defaulted to M (HA/DR target; see Legend)</t>
        </is>
      </c>
    </row>
    <row r="222">
      <c r="A222" s="18" t="inlineStr">
        <is>
          <t>NFR-023</t>
        </is>
      </c>
      <c r="B222" s="18" t="inlineStr">
        <is>
          <t>Requirement</t>
        </is>
      </c>
      <c r="C222" s="18" t="inlineStr">
        <is>
          <t>Non-Functional</t>
        </is>
      </c>
      <c r="D222" s="18" t="inlineStr">
        <is>
          <t>E.3 High Availability &amp; Disaster Recovery</t>
        </is>
      </c>
      <c r="E222" s="18" t="inlineStr">
        <is>
          <t>docs/scope/08-non-functional-requirements.md</t>
        </is>
      </c>
      <c r="F222" s="18" t="inlineStr">
        <is>
          <t>RPO (regional disaster)</t>
        </is>
      </c>
      <c r="G222" s="18" t="inlineStr">
        <is>
          <t>Target: ≤ 5 min (asynchronous cross-region replication)</t>
        </is>
      </c>
      <c r="H222" s="18" t="inlineStr">
        <is>
          <t>M</t>
        </is>
      </c>
      <c r="I222" s="18" t="n"/>
      <c r="J222" s="18" t="n"/>
      <c r="K222" s="18" t="inlineStr">
        <is>
          <t>TC-NFR-023-01</t>
        </is>
      </c>
      <c r="L222" s="18" t="inlineStr">
        <is>
          <t>Resilience / DR</t>
        </is>
      </c>
      <c r="M222" s="18" t="inlineStr">
        <is>
          <t>PERF; DR</t>
        </is>
      </c>
      <c r="N222" s="18" t="inlineStr">
        <is>
          <t>Not Started</t>
        </is>
      </c>
      <c r="O222" s="18" t="n"/>
      <c r="P222" s="18" t="n"/>
      <c r="Q222" s="18" t="inlineStr">
        <is>
          <t>Priority defaulted to M (HA/DR target; see Legend)</t>
        </is>
      </c>
    </row>
    <row r="223">
      <c r="A223" s="18" t="inlineStr">
        <is>
          <t>NFR-024</t>
        </is>
      </c>
      <c r="B223" s="18" t="inlineStr">
        <is>
          <t>Requirement</t>
        </is>
      </c>
      <c r="C223" s="18" t="inlineStr">
        <is>
          <t>Non-Functional</t>
        </is>
      </c>
      <c r="D223" s="18" t="inlineStr">
        <is>
          <t>E.3 High Availability &amp; Disaster Recovery</t>
        </is>
      </c>
      <c r="E223" s="18" t="inlineStr">
        <is>
          <t>docs/scope/08-non-functional-requirements.md</t>
        </is>
      </c>
      <c r="F223" s="18" t="inlineStr">
        <is>
          <t>RTO (regional disaster)</t>
        </is>
      </c>
      <c r="G223" s="18" t="inlineStr">
        <is>
          <t>Target: ≤ 1 h (warm standby region; runbook-automated failover)</t>
        </is>
      </c>
      <c r="H223" s="18" t="inlineStr">
        <is>
          <t>M</t>
        </is>
      </c>
      <c r="I223" s="18" t="n"/>
      <c r="J223" s="18" t="n"/>
      <c r="K223" s="18" t="inlineStr">
        <is>
          <t>TC-NFR-024-01</t>
        </is>
      </c>
      <c r="L223" s="18" t="inlineStr">
        <is>
          <t>Resilience / DR</t>
        </is>
      </c>
      <c r="M223" s="18" t="inlineStr">
        <is>
          <t>PERF; DR</t>
        </is>
      </c>
      <c r="N223" s="18" t="inlineStr">
        <is>
          <t>Not Started</t>
        </is>
      </c>
      <c r="O223" s="18" t="n"/>
      <c r="P223" s="18" t="n"/>
      <c r="Q223" s="18" t="inlineStr">
        <is>
          <t>Priority defaulted to M (HA/DR target; see Legend)</t>
        </is>
      </c>
    </row>
    <row r="224">
      <c r="A224" s="18" t="inlineStr">
        <is>
          <t>NFR-025</t>
        </is>
      </c>
      <c r="B224" s="18" t="inlineStr">
        <is>
          <t>Requirement</t>
        </is>
      </c>
      <c r="C224" s="18" t="inlineStr">
        <is>
          <t>Non-Functional</t>
        </is>
      </c>
      <c r="D224" s="18" t="inlineStr">
        <is>
          <t>E.3 High Availability &amp; Disaster Recovery</t>
        </is>
      </c>
      <c r="E224" s="18" t="inlineStr">
        <is>
          <t>docs/scope/08-non-functional-requirements.md</t>
        </is>
      </c>
      <c r="F224" s="18" t="inlineStr">
        <is>
          <t>DR testing</t>
        </is>
      </c>
      <c r="G224" s="18" t="inlineStr">
        <is>
          <t>Target: Full failover test at least twice per year with evidence report</t>
        </is>
      </c>
      <c r="H224" s="18" t="inlineStr">
        <is>
          <t>M</t>
        </is>
      </c>
      <c r="I224" s="18" t="n"/>
      <c r="J224" s="18" t="n"/>
      <c r="K224" s="18" t="inlineStr">
        <is>
          <t>TC-NFR-025-01</t>
        </is>
      </c>
      <c r="L224" s="18" t="inlineStr">
        <is>
          <t>Resilience / DR</t>
        </is>
      </c>
      <c r="M224" s="18" t="inlineStr">
        <is>
          <t>PERF; DR</t>
        </is>
      </c>
      <c r="N224" s="18" t="inlineStr">
        <is>
          <t>Not Started</t>
        </is>
      </c>
      <c r="O224" s="18" t="n"/>
      <c r="P224" s="18" t="n"/>
      <c r="Q224" s="18" t="inlineStr">
        <is>
          <t>Priority defaulted to M (HA/DR target; see Legend)</t>
        </is>
      </c>
    </row>
    <row r="225">
      <c r="A225" s="18" t="inlineStr">
        <is>
          <t>NFR-026</t>
        </is>
      </c>
      <c r="B225" s="18" t="inlineStr">
        <is>
          <t>Requirement</t>
        </is>
      </c>
      <c r="C225" s="18" t="inlineStr">
        <is>
          <t>Non-Functional</t>
        </is>
      </c>
      <c r="D225" s="18" t="inlineStr">
        <is>
          <t>E.3 High Availability &amp; Disaster Recovery</t>
        </is>
      </c>
      <c r="E225" s="18" t="inlineStr">
        <is>
          <t>docs/scope/08-non-functional-requirements.md</t>
        </is>
      </c>
      <c r="F225" s="18" t="inlineStr">
        <is>
          <t>Backups</t>
        </is>
      </c>
      <c r="G225" s="18" t="inlineStr">
        <is>
          <t>Target: Continuous PITR (35 days); daily snapshot copied cross-region; monthly immutable backup retained 12 months (WORM)</t>
        </is>
      </c>
      <c r="H225" s="18" t="inlineStr">
        <is>
          <t>M</t>
        </is>
      </c>
      <c r="I225" s="18" t="n"/>
      <c r="J225" s="18" t="n"/>
      <c r="K225" s="18" t="inlineStr">
        <is>
          <t>TC-NFR-026-01</t>
        </is>
      </c>
      <c r="L225" s="18" t="inlineStr">
        <is>
          <t>Resilience / DR</t>
        </is>
      </c>
      <c r="M225" s="18" t="inlineStr">
        <is>
          <t>PERF; DR</t>
        </is>
      </c>
      <c r="N225" s="18" t="inlineStr">
        <is>
          <t>Not Started</t>
        </is>
      </c>
      <c r="O225" s="18" t="n"/>
      <c r="P225" s="18" t="n"/>
      <c r="Q225" s="18" t="inlineStr">
        <is>
          <t>Priority defaulted to M (HA/DR target; see Legend)</t>
        </is>
      </c>
    </row>
    <row r="226">
      <c r="A226" s="18" t="inlineStr">
        <is>
          <t>NFR-027</t>
        </is>
      </c>
      <c r="B226" s="18" t="inlineStr">
        <is>
          <t>Requirement</t>
        </is>
      </c>
      <c r="C226" s="18" t="inlineStr">
        <is>
          <t>Non-Functional</t>
        </is>
      </c>
      <c r="D226" s="18" t="inlineStr">
        <is>
          <t>E.3 High Availability &amp; Disaster Recovery</t>
        </is>
      </c>
      <c r="E226" s="18" t="inlineStr">
        <is>
          <t>docs/scope/08-non-functional-requirements.md</t>
        </is>
      </c>
      <c r="F226" s="18" t="inlineStr">
        <is>
          <t>Site resilience (edge)</t>
        </is>
      </c>
      <c r="G226" s="18" t="inlineStr">
        <is>
          <t>Target: Optional *site edge node* for automation-heavy sites: local continuation of sorter routing &amp; automation orchestration for ≥ 4 h of WAN loss, sync on reconnect</t>
        </is>
      </c>
      <c r="H226" s="18" t="inlineStr">
        <is>
          <t>M</t>
        </is>
      </c>
      <c r="I226" s="18" t="n"/>
      <c r="J226" s="18" t="n"/>
      <c r="K226" s="18" t="inlineStr">
        <is>
          <t>TC-NFR-027-01</t>
        </is>
      </c>
      <c r="L226" s="18" t="inlineStr">
        <is>
          <t>Resilience / DR</t>
        </is>
      </c>
      <c r="M226" s="18" t="inlineStr">
        <is>
          <t>PERF; DR</t>
        </is>
      </c>
      <c r="N226" s="18" t="inlineStr">
        <is>
          <t>Not Started</t>
        </is>
      </c>
      <c r="O226" s="18" t="n"/>
      <c r="P226" s="18" t="n"/>
      <c r="Q226" s="18" t="inlineStr">
        <is>
          <t>Priority defaulted to M (HA/DR target; see Legend)</t>
        </is>
      </c>
    </row>
    <row r="227">
      <c r="A227" s="18" t="inlineStr">
        <is>
          <t>NFR-028</t>
        </is>
      </c>
      <c r="B227" s="18" t="inlineStr">
        <is>
          <t>Requirement</t>
        </is>
      </c>
      <c r="C227" s="18" t="inlineStr">
        <is>
          <t>Non-Functional</t>
        </is>
      </c>
      <c r="D227" s="18" t="inlineStr">
        <is>
          <t>E.3 High Availability &amp; Disaster Recovery</t>
        </is>
      </c>
      <c r="E227" s="18" t="inlineStr">
        <is>
          <t>docs/scope/08-non-functional-requirements.md</t>
        </is>
      </c>
      <c r="F227" s="18" t="inlineStr">
        <is>
          <t>RF device offline mode</t>
        </is>
      </c>
      <c r="G227" s="18" t="inlineStr">
        <is>
          <t>Target: Limited offline continuation for putaway/pick confirmations for ≤ 15 min with queued sync &amp; conflict detection</t>
        </is>
      </c>
      <c r="H227" s="18" t="inlineStr">
        <is>
          <t>M</t>
        </is>
      </c>
      <c r="I227" s="18" t="n"/>
      <c r="J227" s="18" t="n"/>
      <c r="K227" s="18" t="inlineStr">
        <is>
          <t>TC-NFR-028-01</t>
        </is>
      </c>
      <c r="L227" s="18" t="inlineStr">
        <is>
          <t>Resilience / DR</t>
        </is>
      </c>
      <c r="M227" s="18" t="inlineStr">
        <is>
          <t>PERF; DR</t>
        </is>
      </c>
      <c r="N227" s="18" t="inlineStr">
        <is>
          <t>Not Started</t>
        </is>
      </c>
      <c r="O227" s="18" t="n"/>
      <c r="P227" s="18" t="n"/>
      <c r="Q227" s="18" t="inlineStr">
        <is>
          <t>Priority defaulted to M (HA/DR target; see Legend)</t>
        </is>
      </c>
    </row>
    <row r="228">
      <c r="A228" s="18" t="inlineStr">
        <is>
          <t>NFR-029</t>
        </is>
      </c>
      <c r="B228" s="18" t="inlineStr">
        <is>
          <t>Requirement</t>
        </is>
      </c>
      <c r="C228" s="18" t="inlineStr">
        <is>
          <t>Non-Functional</t>
        </is>
      </c>
      <c r="D228" s="18" t="inlineStr">
        <is>
          <t>E.3 High Availability &amp; Disaster Recovery</t>
        </is>
      </c>
      <c r="E228" s="18" t="inlineStr">
        <is>
          <t>docs/scope/08-non-functional-requirements.md</t>
        </is>
      </c>
      <c r="F228" s="18" t="inlineStr">
        <is>
          <t>ERP outage</t>
        </is>
      </c>
      <c r="G228" s="18" t="inlineStr">
        <is>
          <t>Target: Warehouse continues operating indefinitely on already-received orders; confirmations queued (INT-010)</t>
        </is>
      </c>
      <c r="H228" s="18" t="inlineStr">
        <is>
          <t>M</t>
        </is>
      </c>
      <c r="I228" s="18" t="n"/>
      <c r="J228" s="18" t="n"/>
      <c r="K228" s="18" t="inlineStr">
        <is>
          <t>TC-NFR-029-01</t>
        </is>
      </c>
      <c r="L228" s="18" t="inlineStr">
        <is>
          <t>Resilience / DR</t>
        </is>
      </c>
      <c r="M228" s="18" t="inlineStr">
        <is>
          <t>PERF; DR</t>
        </is>
      </c>
      <c r="N228" s="18" t="inlineStr">
        <is>
          <t>Not Started</t>
        </is>
      </c>
      <c r="O228" s="18" t="n"/>
      <c r="P228" s="18" t="n"/>
      <c r="Q228" s="18" t="inlineStr">
        <is>
          <t>Priority defaulted to M (HA/DR target; see Legend)</t>
        </is>
      </c>
    </row>
    <row r="229">
      <c r="A229" s="18" t="inlineStr">
        <is>
          <t>NFR-030</t>
        </is>
      </c>
      <c r="B229" s="18" t="inlineStr">
        <is>
          <t>Requirement</t>
        </is>
      </c>
      <c r="C229" s="18" t="inlineStr">
        <is>
          <t>Non-Functional</t>
        </is>
      </c>
      <c r="D229" s="18" t="inlineStr">
        <is>
          <t>E.3 High Availability &amp; Disaster Recovery</t>
        </is>
      </c>
      <c r="E229" s="18" t="inlineStr">
        <is>
          <t>docs/scope/08-non-functional-requirements.md</t>
        </is>
      </c>
      <c r="F229" s="18" t="inlineStr">
        <is>
          <t>Degraded modes</t>
        </is>
      </c>
      <c r="G229" s="18" t="inlineStr">
        <is>
          <t>Target: Documented playbooks: carrier API down (pre-printed label pools / later manifest), print server down (alternate printer routing), WCS down (manual task conversion)</t>
        </is>
      </c>
      <c r="H229" s="18" t="inlineStr">
        <is>
          <t>M</t>
        </is>
      </c>
      <c r="I229" s="18" t="n"/>
      <c r="J229" s="18" t="n"/>
      <c r="K229" s="18" t="inlineStr">
        <is>
          <t>TC-NFR-030-01</t>
        </is>
      </c>
      <c r="L229" s="18" t="inlineStr">
        <is>
          <t>Resilience / DR</t>
        </is>
      </c>
      <c r="M229" s="18" t="inlineStr">
        <is>
          <t>PERF; DR</t>
        </is>
      </c>
      <c r="N229" s="18" t="inlineStr">
        <is>
          <t>Not Started</t>
        </is>
      </c>
      <c r="O229" s="18" t="n"/>
      <c r="P229" s="18" t="n"/>
      <c r="Q229" s="18" t="inlineStr">
        <is>
          <t>Priority defaulted to M (HA/DR target; see Legend)</t>
        </is>
      </c>
    </row>
    <row r="230">
      <c r="A230" s="18" t="inlineStr">
        <is>
          <t>NFR-040</t>
        </is>
      </c>
      <c r="B230" s="18" t="inlineStr">
        <is>
          <t>Requirement</t>
        </is>
      </c>
      <c r="C230" s="18" t="inlineStr">
        <is>
          <t>Non-Functional</t>
        </is>
      </c>
      <c r="D230" s="18" t="inlineStr">
        <is>
          <t>E.5 Configurability &amp; Extensibility</t>
        </is>
      </c>
      <c r="E230" s="18" t="inlineStr">
        <is>
          <t>docs/scope/08-non-functional-requirements.md</t>
        </is>
      </c>
      <c r="F230" s="18" t="inlineStr">
        <is>
          <t>Business rules (allocation, putaway, replenishment, wave templates, cartonization constraints, disposition, tolerances) are configured through UI/rule tables, not code.</t>
        </is>
      </c>
      <c r="G230" s="18" t="inlineStr">
        <is>
          <t>Rule/requirement enforced as stated (positive + negative case)</t>
        </is>
      </c>
      <c r="H230" s="18" t="inlineStr">
        <is>
          <t>M</t>
        </is>
      </c>
      <c r="I230" s="18" t="n"/>
      <c r="J230" s="18" t="n"/>
      <c r="K230" s="18" t="inlineStr">
        <is>
          <t>TC-NFR-040-01</t>
        </is>
      </c>
      <c r="L230" s="18" t="inlineStr">
        <is>
          <t>Configuration verification</t>
        </is>
      </c>
      <c r="M230" s="18" t="inlineStr">
        <is>
          <t>SIT</t>
        </is>
      </c>
      <c r="N230" s="18" t="inlineStr">
        <is>
          <t>Not Started</t>
        </is>
      </c>
      <c r="O230" s="18" t="n"/>
      <c r="P230" s="18" t="n"/>
      <c r="Q230" s="18" t="inlineStr"/>
    </row>
    <row r="231">
      <c r="A231" s="18" t="inlineStr">
        <is>
          <t>NFR-041</t>
        </is>
      </c>
      <c r="B231" s="18" t="inlineStr">
        <is>
          <t>Requirement</t>
        </is>
      </c>
      <c r="C231" s="18" t="inlineStr">
        <is>
          <t>Non-Functional</t>
        </is>
      </c>
      <c r="D231" s="18" t="inlineStr">
        <is>
          <t>E.5 Configurability &amp; Extensibility</t>
        </is>
      </c>
      <c r="E231" s="18" t="inlineStr">
        <is>
          <t>docs/scope/08-non-functional-requirements.md</t>
        </is>
      </c>
      <c r="F231" s="18" t="inlineStr">
        <is>
          <t>Configuration is versioned, promotable between environments (export/import as signed packages), and diff-able; effective-dated changes.</t>
        </is>
      </c>
      <c r="G231" s="18" t="inlineStr">
        <is>
          <t>Rule/requirement enforced as stated (positive + negative case)</t>
        </is>
      </c>
      <c r="H231" s="18" t="inlineStr">
        <is>
          <t>M</t>
        </is>
      </c>
      <c r="I231" s="18" t="n"/>
      <c r="J231" s="18" t="n"/>
      <c r="K231" s="18" t="inlineStr">
        <is>
          <t>TC-NFR-041-01</t>
        </is>
      </c>
      <c r="L231" s="18" t="inlineStr">
        <is>
          <t>Configuration verification</t>
        </is>
      </c>
      <c r="M231" s="18" t="inlineStr">
        <is>
          <t>SIT</t>
        </is>
      </c>
      <c r="N231" s="18" t="inlineStr">
        <is>
          <t>Not Started</t>
        </is>
      </c>
      <c r="O231" s="18" t="n"/>
      <c r="P231" s="18" t="n"/>
      <c r="Q231" s="18" t="inlineStr"/>
    </row>
    <row r="232">
      <c r="A232" s="18" t="inlineStr">
        <is>
          <t>NFR-042</t>
        </is>
      </c>
      <c r="B232" s="18" t="inlineStr">
        <is>
          <t>Requirement</t>
        </is>
      </c>
      <c r="C232" s="18" t="inlineStr">
        <is>
          <t>Non-Functional</t>
        </is>
      </c>
      <c r="D232" s="18" t="inlineStr">
        <is>
          <t>E.5 Configurability &amp; Extensibility</t>
        </is>
      </c>
      <c r="E232" s="18" t="inlineStr">
        <is>
          <t>docs/scope/08-non-functional-requirements.md</t>
        </is>
      </c>
      <c r="F232" s="18" t="inlineStr">
        <is>
          <t>Custom attributes (user-defined fields) on item, LPN, inventory, order, order line, location, with validation and UI/reporting exposure, without schema change by the customer.</t>
        </is>
      </c>
      <c r="G232" s="18" t="inlineStr">
        <is>
          <t>Rule/requirement enforced as stated (positive + negative case)</t>
        </is>
      </c>
      <c r="H232" s="18" t="inlineStr">
        <is>
          <t>M</t>
        </is>
      </c>
      <c r="I232" s="18" t="n"/>
      <c r="J232" s="18" t="n"/>
      <c r="K232" s="18" t="inlineStr">
        <is>
          <t>TC-NFR-042-01</t>
        </is>
      </c>
      <c r="L232" s="18" t="inlineStr">
        <is>
          <t>Configuration verification</t>
        </is>
      </c>
      <c r="M232" s="18" t="inlineStr">
        <is>
          <t>SIT</t>
        </is>
      </c>
      <c r="N232" s="18" t="inlineStr">
        <is>
          <t>Not Started</t>
        </is>
      </c>
      <c r="O232" s="18" t="n"/>
      <c r="P232" s="18" t="n"/>
      <c r="Q232" s="18" t="inlineStr"/>
    </row>
    <row r="233">
      <c r="A233" s="18" t="inlineStr">
        <is>
          <t>NFR-043</t>
        </is>
      </c>
      <c r="B233" s="18" t="inlineStr">
        <is>
          <t>Requirement</t>
        </is>
      </c>
      <c r="C233" s="18" t="inlineStr">
        <is>
          <t>Non-Functional</t>
        </is>
      </c>
      <c r="D233" s="18" t="inlineStr">
        <is>
          <t>E.5 Configurability &amp; Extensibility</t>
        </is>
      </c>
      <c r="E233" s="18" t="inlineStr">
        <is>
          <t>docs/scope/08-non-functional-requirements.md</t>
        </is>
      </c>
      <c r="F233" s="18" t="inlineStr">
        <is>
          <t>RF workflow configuration: step order, optional/mandatory captures, prompts, and validations adjustable per site/owner/process through a flow designer.</t>
        </is>
      </c>
      <c r="G233" s="18" t="inlineStr">
        <is>
          <t>Rule/requirement enforced as stated (positive + negative case)</t>
        </is>
      </c>
      <c r="H233" s="18" t="inlineStr">
        <is>
          <t>S</t>
        </is>
      </c>
      <c r="I233" s="18" t="n"/>
      <c r="J233" s="18" t="n"/>
      <c r="K233" s="18" t="inlineStr">
        <is>
          <t>TC-NFR-043-01</t>
        </is>
      </c>
      <c r="L233" s="18" t="inlineStr">
        <is>
          <t>Configuration verification</t>
        </is>
      </c>
      <c r="M233" s="18" t="inlineStr">
        <is>
          <t>SIT</t>
        </is>
      </c>
      <c r="N233" s="18" t="inlineStr">
        <is>
          <t>Not Started</t>
        </is>
      </c>
      <c r="O233" s="18" t="n"/>
      <c r="P233" s="18" t="n"/>
      <c r="Q233" s="18" t="inlineStr"/>
    </row>
    <row r="234">
      <c r="A234" s="18" t="inlineStr">
        <is>
          <t>NFR-044</t>
        </is>
      </c>
      <c r="B234" s="18" t="inlineStr">
        <is>
          <t>Requirement</t>
        </is>
      </c>
      <c r="C234" s="18" t="inlineStr">
        <is>
          <t>Non-Functional</t>
        </is>
      </c>
      <c r="D234" s="18" t="inlineStr">
        <is>
          <t>E.5 Configurability &amp; Extensibility</t>
        </is>
      </c>
      <c r="E234" s="18" t="inlineStr">
        <is>
          <t>docs/scope/08-non-functional-requirements.md</t>
        </is>
      </c>
      <c r="F234" s="18" t="inlineStr">
        <is>
          <t>Extension points: (a) synchronous hooks (pre-/post-validation) as sandboxed serverless functions with ≤ 50 ms budget; (b) asynchronous event subscriptions; (c) custom REST endpoints under extension namespace. Extensions do not modify core code and survive upgrades.</t>
        </is>
      </c>
      <c r="G234" s="18" t="inlineStr">
        <is>
          <t>Rule/requirement enforced as stated (positive + negative case)</t>
        </is>
      </c>
      <c r="H234" s="18" t="inlineStr">
        <is>
          <t>S</t>
        </is>
      </c>
      <c r="I234" s="18" t="n"/>
      <c r="J234" s="18" t="n"/>
      <c r="K234" s="18" t="inlineStr">
        <is>
          <t>TC-NFR-044-01</t>
        </is>
      </c>
      <c r="L234" s="18" t="inlineStr">
        <is>
          <t>Configuration verification</t>
        </is>
      </c>
      <c r="M234" s="18" t="inlineStr">
        <is>
          <t>SIT</t>
        </is>
      </c>
      <c r="N234" s="18" t="inlineStr">
        <is>
          <t>Not Started</t>
        </is>
      </c>
      <c r="O234" s="18" t="n"/>
      <c r="P234" s="18" t="n"/>
      <c r="Q234" s="18" t="inlineStr"/>
    </row>
    <row r="235">
      <c r="A235" s="18" t="inlineStr">
        <is>
          <t>NFR-045</t>
        </is>
      </c>
      <c r="B235" s="18" t="inlineStr">
        <is>
          <t>Requirement</t>
        </is>
      </c>
      <c r="C235" s="18" t="inlineStr">
        <is>
          <t>Non-Functional</t>
        </is>
      </c>
      <c r="D235" s="18" t="inlineStr">
        <is>
          <t>E.5 Configurability &amp; Extensibility</t>
        </is>
      </c>
      <c r="E235" s="18" t="inlineStr">
        <is>
          <t>docs/scope/08-non-functional-requirements.md</t>
        </is>
      </c>
      <c r="F235" s="18" t="inlineStr">
        <is>
          <t>Label and document templates editable (ZPL / designer; HTML-to-PDF for documents), versioned per owner/customer.</t>
        </is>
      </c>
      <c r="G235" s="18" t="inlineStr">
        <is>
          <t>Rule/requirement enforced as stated (positive + negative case)</t>
        </is>
      </c>
      <c r="H235" s="18" t="inlineStr">
        <is>
          <t>M</t>
        </is>
      </c>
      <c r="I235" s="18" t="n"/>
      <c r="J235" s="18" t="n"/>
      <c r="K235" s="18" t="inlineStr">
        <is>
          <t>TC-NFR-045-01</t>
        </is>
      </c>
      <c r="L235" s="18" t="inlineStr">
        <is>
          <t>Configuration verification</t>
        </is>
      </c>
      <c r="M235" s="18" t="inlineStr">
        <is>
          <t>SIT</t>
        </is>
      </c>
      <c r="N235" s="18" t="inlineStr">
        <is>
          <t>Not Started</t>
        </is>
      </c>
      <c r="O235" s="18" t="n"/>
      <c r="P235" s="18" t="n"/>
      <c r="Q235" s="18" t="inlineStr"/>
    </row>
    <row r="236">
      <c r="A236" s="18" t="inlineStr">
        <is>
          <t>NFR-046</t>
        </is>
      </c>
      <c r="B236" s="18" t="inlineStr">
        <is>
          <t>Requirement</t>
        </is>
      </c>
      <c r="C236" s="18" t="inlineStr">
        <is>
          <t>Non-Functional</t>
        </is>
      </c>
      <c r="D236" s="18" t="inlineStr">
        <is>
          <t>E.5 Configurability &amp; Extensibility</t>
        </is>
      </c>
      <c r="E236" s="18" t="inlineStr">
        <is>
          <t>docs/scope/08-non-functional-requirements.md</t>
        </is>
      </c>
      <c r="F236" s="18" t="inlineStr">
        <is>
          <t>Localisation: UI in ≥ 12 languages, per-user language on RF; locale-aware numbers/dates/UoM; right-to-left capable.</t>
        </is>
      </c>
      <c r="G236" s="18" t="inlineStr">
        <is>
          <t>Rule/requirement enforced as stated (positive + negative case)</t>
        </is>
      </c>
      <c r="H236" s="18" t="inlineStr">
        <is>
          <t>S</t>
        </is>
      </c>
      <c r="I236" s="18" t="n"/>
      <c r="J236" s="18" t="n"/>
      <c r="K236" s="18" t="inlineStr">
        <is>
          <t>TC-NFR-046-01</t>
        </is>
      </c>
      <c r="L236" s="18" t="inlineStr">
        <is>
          <t>Configuration verification</t>
        </is>
      </c>
      <c r="M236" s="18" t="inlineStr">
        <is>
          <t>SIT</t>
        </is>
      </c>
      <c r="N236" s="18" t="inlineStr">
        <is>
          <t>Not Started</t>
        </is>
      </c>
      <c r="O236" s="18" t="n"/>
      <c r="P236" s="18" t="n"/>
      <c r="Q236" s="18" t="inlineStr"/>
    </row>
    <row r="237">
      <c r="A237" s="18" t="inlineStr">
        <is>
          <t>NFR-047</t>
        </is>
      </c>
      <c r="B237" s="18" t="inlineStr">
        <is>
          <t>Requirement</t>
        </is>
      </c>
      <c r="C237" s="18" t="inlineStr">
        <is>
          <t>Non-Functional</t>
        </is>
      </c>
      <c r="D237" s="18" t="inlineStr">
        <is>
          <t>E.5 Configurability &amp; Extensibility</t>
        </is>
      </c>
      <c r="E237" s="18" t="inlineStr">
        <is>
          <t>docs/scope/08-non-functional-requirements.md</t>
        </is>
      </c>
      <c r="F237" s="18" t="inlineStr">
        <is>
          <t>Upgrade cadence: continuous delivery with monthly feature releases; feature flags for opt-in behaviour changes; regulated tenants on quarterly validated release train.</t>
        </is>
      </c>
      <c r="G237" s="18" t="inlineStr">
        <is>
          <t>Rule/requirement enforced as stated (positive + negative case)</t>
        </is>
      </c>
      <c r="H237" s="18" t="inlineStr">
        <is>
          <t>M</t>
        </is>
      </c>
      <c r="I237" s="18" t="n"/>
      <c r="J237" s="18" t="n"/>
      <c r="K237" s="18" t="inlineStr">
        <is>
          <t>TC-NFR-047-01</t>
        </is>
      </c>
      <c r="L237" s="18" t="inlineStr">
        <is>
          <t>Configuration verification</t>
        </is>
      </c>
      <c r="M237" s="18" t="inlineStr">
        <is>
          <t>SIT</t>
        </is>
      </c>
      <c r="N237" s="18" t="inlineStr">
        <is>
          <t>Not Started</t>
        </is>
      </c>
      <c r="O237" s="18" t="n"/>
      <c r="P237" s="18" t="n"/>
      <c r="Q237" s="18" t="inlineStr"/>
    </row>
    <row r="238">
      <c r="A238" s="18" t="inlineStr">
        <is>
          <t>NFR-060</t>
        </is>
      </c>
      <c r="B238" s="18" t="inlineStr">
        <is>
          <t>Requirement</t>
        </is>
      </c>
      <c r="C238" s="18" t="inlineStr">
        <is>
          <t>Non-Functional</t>
        </is>
      </c>
      <c r="D238" s="18" t="inlineStr">
        <is>
          <t>E.7 Logging &amp; Audit Trails</t>
        </is>
      </c>
      <c r="E238" s="18" t="inlineStr">
        <is>
          <t>docs/scope/08-non-functional-requirements.md</t>
        </is>
      </c>
      <c r="F238" s="18" t="inlineStr">
        <is>
          <t>Business audit trail: every create/update/delete on master data, configuration, inventory, and orders records who, when (UTC + site local), from where (device/IP), what (before/after values), why (reason code), and via which channel (UI/RF/API/integration/job).</t>
        </is>
      </c>
      <c r="G238" s="18" t="inlineStr">
        <is>
          <t>Rule/requirement enforced as stated (positive + negative case)</t>
        </is>
      </c>
      <c r="H238" s="18" t="inlineStr">
        <is>
          <t>M</t>
        </is>
      </c>
      <c r="I238" s="18" t="n"/>
      <c r="J238" s="18" t="n"/>
      <c r="K238" s="18" t="inlineStr">
        <is>
          <t>TC-NFR-060-01</t>
        </is>
      </c>
      <c r="L238" s="18" t="inlineStr">
        <is>
          <t>Security &amp; audit</t>
        </is>
      </c>
      <c r="M238" s="18" t="inlineStr">
        <is>
          <t>SIT; UAT</t>
        </is>
      </c>
      <c r="N238" s="18" t="inlineStr">
        <is>
          <t>Not Started</t>
        </is>
      </c>
      <c r="O238" s="18" t="n"/>
      <c r="P238" s="18" t="n"/>
      <c r="Q238" s="18" t="inlineStr"/>
    </row>
    <row r="239">
      <c r="A239" s="18" t="inlineStr">
        <is>
          <t>NFR-061</t>
        </is>
      </c>
      <c r="B239" s="18" t="inlineStr">
        <is>
          <t>Requirement</t>
        </is>
      </c>
      <c r="C239" s="18" t="inlineStr">
        <is>
          <t>Non-Functional</t>
        </is>
      </c>
      <c r="D239" s="18" t="inlineStr">
        <is>
          <t>E.7 Logging &amp; Audit Trails</t>
        </is>
      </c>
      <c r="E239" s="18" t="inlineStr">
        <is>
          <t>docs/scope/08-non-functional-requirements.md</t>
        </is>
      </c>
      <c r="F239" s="18" t="inlineStr">
        <is>
          <t>Audit trail is append-only and tamper-evident (hash-chained records per partition; periodic anchor hash stored in WORM storage).</t>
        </is>
      </c>
      <c r="G239" s="18" t="inlineStr">
        <is>
          <t>Rule/requirement enforced as stated (positive + negative case)</t>
        </is>
      </c>
      <c r="H239" s="18" t="inlineStr">
        <is>
          <t>M</t>
        </is>
      </c>
      <c r="I239" s="18" t="n"/>
      <c r="J239" s="18" t="n"/>
      <c r="K239" s="18" t="inlineStr">
        <is>
          <t>TC-NFR-061-01</t>
        </is>
      </c>
      <c r="L239" s="18" t="inlineStr">
        <is>
          <t>Security &amp; audit</t>
        </is>
      </c>
      <c r="M239" s="18" t="inlineStr">
        <is>
          <t>SIT; UAT</t>
        </is>
      </c>
      <c r="N239" s="18" t="inlineStr">
        <is>
          <t>Not Started</t>
        </is>
      </c>
      <c r="O239" s="18" t="n"/>
      <c r="P239" s="18" t="n"/>
      <c r="Q239" s="18" t="inlineStr"/>
    </row>
    <row r="240">
      <c r="A240" s="18" t="inlineStr">
        <is>
          <t>NFR-062</t>
        </is>
      </c>
      <c r="B240" s="18" t="inlineStr">
        <is>
          <t>Requirement</t>
        </is>
      </c>
      <c r="C240" s="18" t="inlineStr">
        <is>
          <t>Non-Functional</t>
        </is>
      </c>
      <c r="D240" s="18" t="inlineStr">
        <is>
          <t>E.7 Logging &amp; Audit Trails</t>
        </is>
      </c>
      <c r="E240" s="18" t="inlineStr">
        <is>
          <t>docs/scope/08-non-functional-requirements.md</t>
        </is>
      </c>
      <c r="F240" s="18" t="inlineStr">
        <is>
          <t>Retention: inventory &amp; financial-relevant audit ≥ 7 years (configurable up to 15); operational technical logs 90 days hot, 1 year archive.</t>
        </is>
      </c>
      <c r="G240" s="18" t="inlineStr">
        <is>
          <t>Rule/requirement enforced as stated (positive + negative case)</t>
        </is>
      </c>
      <c r="H240" s="18" t="inlineStr">
        <is>
          <t>M</t>
        </is>
      </c>
      <c r="I240" s="18" t="n"/>
      <c r="J240" s="18" t="n"/>
      <c r="K240" s="18" t="inlineStr">
        <is>
          <t>TC-NFR-062-01</t>
        </is>
      </c>
      <c r="L240" s="18" t="inlineStr">
        <is>
          <t>Security &amp; audit</t>
        </is>
      </c>
      <c r="M240" s="18" t="inlineStr">
        <is>
          <t>SIT; UAT</t>
        </is>
      </c>
      <c r="N240" s="18" t="inlineStr">
        <is>
          <t>Not Started</t>
        </is>
      </c>
      <c r="O240" s="18" t="n"/>
      <c r="P240" s="18" t="n"/>
      <c r="Q240" s="18" t="inlineStr"/>
    </row>
    <row r="241">
      <c r="A241" s="18" t="inlineStr">
        <is>
          <t>NFR-063</t>
        </is>
      </c>
      <c r="B241" s="18" t="inlineStr">
        <is>
          <t>Requirement</t>
        </is>
      </c>
      <c r="C241" s="18" t="inlineStr">
        <is>
          <t>Non-Functional</t>
        </is>
      </c>
      <c r="D241" s="18" t="inlineStr">
        <is>
          <t>E.7 Logging &amp; Audit Trails</t>
        </is>
      </c>
      <c r="E241" s="18" t="inlineStr">
        <is>
          <t>docs/scope/08-non-functional-requirements.md</t>
        </is>
      </c>
      <c r="F241" s="18" t="inlineStr">
        <is>
          <t>Audit query UI and export (CSV/PDF) with filters; regulated tenants: audit review report for Part 11.</t>
        </is>
      </c>
      <c r="G241" s="18" t="inlineStr">
        <is>
          <t>Rule/requirement enforced as stated (positive + negative case)</t>
        </is>
      </c>
      <c r="H241" s="18" t="inlineStr">
        <is>
          <t>M</t>
        </is>
      </c>
      <c r="I241" s="18" t="n"/>
      <c r="J241" s="18" t="n"/>
      <c r="K241" s="18" t="inlineStr">
        <is>
          <t>TC-NFR-063-01</t>
        </is>
      </c>
      <c r="L241" s="18" t="inlineStr">
        <is>
          <t>Security &amp; audit</t>
        </is>
      </c>
      <c r="M241" s="18" t="inlineStr">
        <is>
          <t>SIT; UAT</t>
        </is>
      </c>
      <c r="N241" s="18" t="inlineStr">
        <is>
          <t>Not Started</t>
        </is>
      </c>
      <c r="O241" s="18" t="n"/>
      <c r="P241" s="18" t="n"/>
      <c r="Q241" s="18" t="inlineStr"/>
    </row>
    <row r="242">
      <c r="A242" s="18" t="inlineStr">
        <is>
          <t>NFR-064</t>
        </is>
      </c>
      <c r="B242" s="18" t="inlineStr">
        <is>
          <t>Requirement</t>
        </is>
      </c>
      <c r="C242" s="18" t="inlineStr">
        <is>
          <t>Non-Functional</t>
        </is>
      </c>
      <c r="D242" s="18" t="inlineStr">
        <is>
          <t>E.7 Logging &amp; Audit Trails</t>
        </is>
      </c>
      <c r="E242" s="18" t="inlineStr">
        <is>
          <t>docs/scope/08-non-functional-requirements.md</t>
        </is>
      </c>
      <c r="F242" s="18" t="inlineStr">
        <is>
          <t>Technical logging: structured JSON logs, OpenTelemetry traces &amp; metrics, centralised (customer-exportable); PII redaction in logs.</t>
        </is>
      </c>
      <c r="G242" s="18" t="inlineStr">
        <is>
          <t>Rule/requirement enforced as stated (positive + negative case)</t>
        </is>
      </c>
      <c r="H242" s="18" t="inlineStr">
        <is>
          <t>M</t>
        </is>
      </c>
      <c r="I242" s="18" t="n"/>
      <c r="J242" s="18" t="n"/>
      <c r="K242" s="18" t="inlineStr">
        <is>
          <t>TC-NFR-064-01</t>
        </is>
      </c>
      <c r="L242" s="18" t="inlineStr">
        <is>
          <t>Security &amp; audit</t>
        </is>
      </c>
      <c r="M242" s="18" t="inlineStr">
        <is>
          <t>SIT; UAT</t>
        </is>
      </c>
      <c r="N242" s="18" t="inlineStr">
        <is>
          <t>Not Started</t>
        </is>
      </c>
      <c r="O242" s="18" t="n"/>
      <c r="P242" s="18" t="n"/>
      <c r="Q242" s="18" t="inlineStr"/>
    </row>
    <row r="243">
      <c r="A243" s="18" t="inlineStr">
        <is>
          <t>NFR-065</t>
        </is>
      </c>
      <c r="B243" s="18" t="inlineStr">
        <is>
          <t>Requirement</t>
        </is>
      </c>
      <c r="C243" s="18" t="inlineStr">
        <is>
          <t>Non-Functional</t>
        </is>
      </c>
      <c r="D243" s="18" t="inlineStr">
        <is>
          <t>E.7 Logging &amp; Audit Trails</t>
        </is>
      </c>
      <c r="E243" s="18" t="inlineStr">
        <is>
          <t>docs/scope/08-non-functional-requirements.md</t>
        </is>
      </c>
      <c r="F243" s="18" t="inlineStr">
        <is>
          <t>Configuration change log with diff and approver; emergency changes flagged.</t>
        </is>
      </c>
      <c r="G243" s="18" t="inlineStr">
        <is>
          <t>Rule/requirement enforced as stated (positive + negative case)</t>
        </is>
      </c>
      <c r="H243" s="18" t="inlineStr">
        <is>
          <t>M</t>
        </is>
      </c>
      <c r="I243" s="18" t="n"/>
      <c r="J243" s="18" t="n"/>
      <c r="K243" s="18" t="inlineStr">
        <is>
          <t>TC-NFR-065-01</t>
        </is>
      </c>
      <c r="L243" s="18" t="inlineStr">
        <is>
          <t>Security &amp; audit</t>
        </is>
      </c>
      <c r="M243" s="18" t="inlineStr">
        <is>
          <t>SIT; UAT</t>
        </is>
      </c>
      <c r="N243" s="18" t="inlineStr">
        <is>
          <t>Not Started</t>
        </is>
      </c>
      <c r="O243" s="18" t="n"/>
      <c r="P243" s="18" t="n"/>
      <c r="Q243" s="18" t="inlineStr"/>
    </row>
    <row r="244">
      <c r="A244" s="18" t="inlineStr">
        <is>
          <t>NFR-066</t>
        </is>
      </c>
      <c r="B244" s="18" t="inlineStr">
        <is>
          <t>Requirement</t>
        </is>
      </c>
      <c r="C244" s="18" t="inlineStr">
        <is>
          <t>Non-Functional</t>
        </is>
      </c>
      <c r="D244" s="18" t="inlineStr">
        <is>
          <t>E.7 Logging &amp; Audit Trails</t>
        </is>
      </c>
      <c r="E244" s="18" t="inlineStr">
        <is>
          <t>docs/scope/08-non-functional-requirements.md</t>
        </is>
      </c>
      <c r="F244" s="18" t="inlineStr">
        <is>
          <t>Clock synchronisation: all services NTP-synchronised; timestamps in UTC ISO-8601 with ms precision.</t>
        </is>
      </c>
      <c r="G244" s="18" t="inlineStr">
        <is>
          <t>Rule/requirement enforced as stated (positive + negative case)</t>
        </is>
      </c>
      <c r="H244" s="18" t="inlineStr">
        <is>
          <t>M</t>
        </is>
      </c>
      <c r="I244" s="18" t="n"/>
      <c r="J244" s="18" t="n"/>
      <c r="K244" s="18" t="inlineStr">
        <is>
          <t>TC-NFR-066-01</t>
        </is>
      </c>
      <c r="L244" s="18" t="inlineStr">
        <is>
          <t>Security &amp; audit</t>
        </is>
      </c>
      <c r="M244" s="18" t="inlineStr">
        <is>
          <t>SIT; UAT</t>
        </is>
      </c>
      <c r="N244" s="18" t="inlineStr">
        <is>
          <t>Not Started</t>
        </is>
      </c>
      <c r="O244" s="18" t="n"/>
      <c r="P244" s="18" t="n"/>
      <c r="Q244" s="18" t="inlineStr"/>
    </row>
    <row r="245">
      <c r="A245" s="18" t="inlineStr">
        <is>
          <t>NFR-080</t>
        </is>
      </c>
      <c r="B245" s="18" t="inlineStr">
        <is>
          <t>Requirement</t>
        </is>
      </c>
      <c r="C245" s="18" t="inlineStr">
        <is>
          <t>Non-Functional</t>
        </is>
      </c>
      <c r="D245" s="18" t="inlineStr">
        <is>
          <t>E.8 Usability &amp; Operability</t>
        </is>
      </c>
      <c r="E245" s="18" t="inlineStr">
        <is>
          <t>docs/scope/08-non-functional-requirements.md</t>
        </is>
      </c>
      <c r="F245" s="18" t="inlineStr">
        <is>
          <t>RF task flows achievable with ≤ 1 keystroke per step on average (scan-driven); new operator productive after ≤ 4 h training for core tasks.</t>
        </is>
      </c>
      <c r="G245" s="18" t="inlineStr">
        <is>
          <t>Rule/requirement enforced as stated (positive + negative case)</t>
        </is>
      </c>
      <c r="H245" s="18" t="inlineStr">
        <is>
          <t>S</t>
        </is>
      </c>
      <c r="I245" s="18" t="n"/>
      <c r="J245" s="18" t="n"/>
      <c r="K245" s="18" t="inlineStr">
        <is>
          <t>TC-NFR-080-01</t>
        </is>
      </c>
      <c r="L245" s="18" t="inlineStr">
        <is>
          <t>Usability</t>
        </is>
      </c>
      <c r="M245" s="18" t="inlineStr">
        <is>
          <t>UAT</t>
        </is>
      </c>
      <c r="N245" s="18" t="inlineStr">
        <is>
          <t>Not Started</t>
        </is>
      </c>
      <c r="O245" s="18" t="n"/>
      <c r="P245" s="18" t="n"/>
      <c r="Q245" s="18" t="inlineStr"/>
    </row>
    <row r="246">
      <c r="A246" s="18" t="inlineStr">
        <is>
          <t>NFR-081</t>
        </is>
      </c>
      <c r="B246" s="18" t="inlineStr">
        <is>
          <t>Requirement</t>
        </is>
      </c>
      <c r="C246" s="18" t="inlineStr">
        <is>
          <t>Non-Functional</t>
        </is>
      </c>
      <c r="D246" s="18" t="inlineStr">
        <is>
          <t>E.8 Usability &amp; Operability</t>
        </is>
      </c>
      <c r="E246" s="18" t="inlineStr">
        <is>
          <t>docs/scope/08-non-functional-requirements.md</t>
        </is>
      </c>
      <c r="F246" s="18" t="inlineStr">
        <is>
          <t>Accessibility: web UI WCAG 2.2 AA.</t>
        </is>
      </c>
      <c r="G246" s="18" t="inlineStr">
        <is>
          <t>Rule/requirement enforced as stated (positive + negative case)</t>
        </is>
      </c>
      <c r="H246" s="18" t="inlineStr">
        <is>
          <t>S</t>
        </is>
      </c>
      <c r="I246" s="18" t="n"/>
      <c r="J246" s="18" t="n"/>
      <c r="K246" s="18" t="inlineStr">
        <is>
          <t>TC-NFR-081-01</t>
        </is>
      </c>
      <c r="L246" s="18" t="inlineStr">
        <is>
          <t>Accessibility (WCAG 2.2 AA)</t>
        </is>
      </c>
      <c r="M246" s="18" t="inlineStr">
        <is>
          <t>UAT</t>
        </is>
      </c>
      <c r="N246" s="18" t="inlineStr">
        <is>
          <t>Not Started</t>
        </is>
      </c>
      <c r="O246" s="18" t="n"/>
      <c r="P246" s="18" t="n"/>
      <c r="Q246" s="18" t="inlineStr"/>
    </row>
    <row r="247">
      <c r="A247" s="18" t="inlineStr">
        <is>
          <t>NFR-082</t>
        </is>
      </c>
      <c r="B247" s="18" t="inlineStr">
        <is>
          <t>Requirement</t>
        </is>
      </c>
      <c r="C247" s="18" t="inlineStr">
        <is>
          <t>Non-Functional</t>
        </is>
      </c>
      <c r="D247" s="18" t="inlineStr">
        <is>
          <t>E.8 Usability &amp; Operability</t>
        </is>
      </c>
      <c r="E247" s="18" t="inlineStr">
        <is>
          <t>docs/scope/08-non-functional-requirements.md</t>
        </is>
      </c>
      <c r="F247" s="18" t="inlineStr">
        <is>
          <t>Operability: runbooks for all alerts; SLO dashboards; synthetic transaction monitoring per site (RF login, task fetch, confirm).</t>
        </is>
      </c>
      <c r="G247" s="18" t="inlineStr">
        <is>
          <t>Rule/requirement enforced as stated (positive + negative case)</t>
        </is>
      </c>
      <c r="H247" s="18" t="inlineStr">
        <is>
          <t>M</t>
        </is>
      </c>
      <c r="I247" s="18" t="n"/>
      <c r="J247" s="18" t="n"/>
      <c r="K247" s="18" t="inlineStr">
        <is>
          <t>TC-NFR-082-01</t>
        </is>
      </c>
      <c r="L247" s="18" t="inlineStr">
        <is>
          <t>Operability / production readiness</t>
        </is>
      </c>
      <c r="M247" s="18" t="inlineStr">
        <is>
          <t>PERF</t>
        </is>
      </c>
      <c r="N247" s="18" t="inlineStr">
        <is>
          <t>Not Started</t>
        </is>
      </c>
      <c r="O247" s="18" t="n"/>
      <c r="P247" s="18" t="n"/>
      <c r="Q247" s="18" t="inlineStr"/>
    </row>
  </sheetData>
  <autoFilter ref="A1:Q247"/>
  <conditionalFormatting sqref="N2:N24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1">
      <formula>"Blocked"</formula>
    </cfRule>
    <cfRule type="cellIs" priority="4" operator="equal" dxfId="2">
      <formula>"In Progress"</formula>
    </cfRule>
    <cfRule type="cellIs" priority="5" operator="equal" dxfId="3">
      <formula>"Deferred"</formula>
    </cfRule>
    <cfRule type="cellIs" priority="6" operator="equal" dxfId="3">
      <formula>"N/A"</formula>
    </cfRule>
  </conditionalFormatting>
  <conditionalFormatting sqref="H2:H247">
    <cfRule type="cellIs" priority="7" operator="equal" dxfId="4">
      <formula>"M"</formula>
    </cfRule>
  </conditionalFormatting>
  <dataValidations count="3">
    <dataValidation sqref="N2:N247" showDropDown="0" showInputMessage="0" showErrorMessage="0" allowBlank="1" type="list">
      <formula1>"Not Started,In Progress,Passed,Failed,Blocked,Deferred,N/A"</formula1>
    </dataValidation>
    <dataValidation sqref="I2:I247" showDropDown="0" showInputMessage="0" showErrorMessage="0" allowBlank="1" type="list">
      <formula1>"Fit - Standard,Fit - Configuration,Gap - Extension,Gap - Process Change,Rejected,Deferred"</formula1>
    </dataValidation>
    <dataValidation sqref="H2:H247" showDropDown="0" showInputMessage="0" showErrorMessage="0" allowBlank="0" type="list">
      <formula1>"M,S,C,W"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2026-09-30T11:15:55Z</dcterms:created>
  <dcterms:modified xmlns:dcterms="http://purl.org/dc/terms/" xmlns:xsi="http://www.w3.org/2001/XMLSchema-instance" xsi:type="dcterms:W3CDTF">2026-09-30T11:15:55Z</dcterms:modified>
</cp:coreProperties>
</file>